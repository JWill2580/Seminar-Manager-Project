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lease Plan" sheetId="1" r:id="rId5"/>
    <sheet state="visible" name="Product Backlog" sheetId="2" r:id="rId6"/>
    <sheet state="visible" name="Sp1" sheetId="3" r:id="rId7"/>
    <sheet state="visible" name="Sp2" sheetId="4" r:id="rId8"/>
    <sheet state="visible" name="Sp3" sheetId="5" r:id="rId9"/>
    <sheet state="visible" name="Planning Poker" sheetId="6" r:id="rId10"/>
    <sheet state="visible" name="PB Burndown" sheetId="7" r:id="rId11"/>
    <sheet state="visible" name="Task Slips" sheetId="8" r:id="rId12"/>
  </sheets>
  <definedNames>
    <definedName localSheetId="2" name="ImplementationDays">'Sp1'!$B$9</definedName>
    <definedName name="TaskStatus">'Sp2'!$D$14:$D$58</definedName>
    <definedName name="ProductBacklog">'Product Backlog'!$A$3:$G$162</definedName>
    <definedName name="DoneDays">#REF!</definedName>
    <definedName localSheetId="4" name="TaskStoryID">'Sp3'!$B$14:$B$53</definedName>
    <definedName name="SortProductBacklog">#REF!</definedName>
    <definedName localSheetId="4" name="TrendDays">'Sp3'!$D$13</definedName>
    <definedName name="TaskRows">#REF!</definedName>
    <definedName localSheetId="2" name="TotalEffort">'Sp1'!$E$10</definedName>
    <definedName localSheetId="4" name="TaskStatus">'Sp3'!$D$14:$D$58</definedName>
    <definedName name="StoryName">'Product Backlog'!$B$4:$B$162</definedName>
    <definedName name="TotalEffort">#REF!</definedName>
    <definedName localSheetId="4" name="DoneDays">'Sp3'!$D$11</definedName>
    <definedName name="SprintTasks">'Sp2'!$A$14:$AD$63</definedName>
    <definedName name="Status">'Product Backlog'!$C$4:$C$162</definedName>
    <definedName localSheetId="4" name="TaskRows">'Sp3'!$B$11</definedName>
    <definedName localSheetId="3" name="DoneDays">'Sp2'!$D$11</definedName>
    <definedName name="TaskStoryID">'Sp2'!$B$14:$B$53</definedName>
    <definedName name="SprintsInTrend">'PB Burndown'!$G$6</definedName>
    <definedName name="TrendOffset">'PB Burndown'!$G$5</definedName>
    <definedName localSheetId="3" name="TaskRows">'Sp2'!$B$11</definedName>
    <definedName name="SortSprintTasks">#REF!</definedName>
    <definedName name="TrendDays">'Sp2'!$D$13</definedName>
    <definedName name="Sprint">'Product Backlog'!$E$4:$E$162</definedName>
    <definedName localSheetId="2" name="TaskRows">'Sp1'!$B$11</definedName>
    <definedName localSheetId="3" name="ImplementationDays">'Sp2'!$B$9</definedName>
    <definedName localSheetId="4" name="TotalEffort">'Sp3'!$E$10</definedName>
    <definedName localSheetId="2" name="TaskStatus">'Sp1'!$D$14:$D$58</definedName>
    <definedName localSheetId="4" name="ImplementationDays">'Sp3'!$B$9</definedName>
    <definedName localSheetId="2" name="TaskStoryID">'Sp1'!$B$14:$B$53</definedName>
    <definedName name="TrendSprintCount">'PB Burndown'!$G$4</definedName>
    <definedName localSheetId="2" name="SprintTasks">'Sp1'!$A$14:$AD$63</definedName>
    <definedName localSheetId="2" name="DoneDays">'Sp1'!$D$11</definedName>
    <definedName localSheetId="3" name="TotalEffort">'Sp2'!$E$10</definedName>
    <definedName name="ImplementationDays">#REF!</definedName>
    <definedName name="UpdateTaskSlips">#REF!</definedName>
    <definedName localSheetId="2" name="TrendDays">'Sp1'!$D$13</definedName>
    <definedName localSheetId="4" name="SprintTasks">'Sp3'!$A$14:$AD$63</definedName>
    <definedName name="SprintCount">'PB Burndown'!$G$3</definedName>
  </definedNames>
  <calcPr/>
  <extLst>
    <ext uri="GoogleSheetsCustomDataVersion1">
      <go:sheetsCustomData xmlns:go="http://customooxmlschemas.google.com/" r:id="rId13" roundtripDataSignature="AMtx7mg7dTPRyUxd1fexMMw+63uCZd2Ygg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3">
      <text>
        <t xml:space="preserve">======
ID#AAAAJK3bN8g
Use the following statuses    (2020-03-04 22:36:48)
Planned (or empty)
Ongoing
Done
Removed
The sheet uses the above statuses in the formatting and calculation formulas.</t>
      </text>
    </comment>
    <comment authorId="0" ref="F3">
      <text>
        <t xml:space="preserve">======
ID#AAAAJK3bN8U
Petri Heiramo    (2020-03-04 22:36:48)
You may assign priorities to the stories, but keep in mind that priority does not always equal implementation order.</t>
      </text>
    </comment>
    <comment authorId="0" ref="D3">
      <text>
        <t xml:space="preserve">======
ID#AAAAJK3bN8Q
Petri Heiramo    (2020-03-04 22:36:48)
Story Points or Ideal Days</t>
      </text>
    </comment>
    <comment authorId="0" ref="A3">
      <text>
        <t xml:space="preserve">======
ID#AAAAJK3bN8M
Petri Heiramo    (2020-03-04 22:36:48)
Once a Story ID is given to a story, do not change that number or reuse it even if you delete the story.</t>
      </text>
    </comment>
    <comment authorId="0" ref="E3">
      <text>
        <t xml:space="preserve">======
ID#AAAAJK3bN8E
Petri Heiramo    (2020-03-04 22:36:48)
Create a release plan by assigning stories to planned sprints. If there are more stories in the backlog than in the plan, leave the remaining stories unassigned to sprints.</t>
      </text>
    </comment>
  </commentList>
  <extLst>
    <ext uri="GoogleSheetsCustomDataVersion1">
      <go:sheetsCustomData xmlns:go="http://customooxmlschemas.google.com/" r:id="rId1" roundtripDataSignature="AMtx7mht35t4+D953ldUueHYm8rM4yTTf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9">
      <text>
        <t xml:space="preserve">======
ID#AAAAJK3bN8o
Petri Heiramo    (2020-03-04 22:36:48)
Count only active working and implementation days. Do not include Planning Day or Sprint Review.
E.g. a 4-week Sprint would most likely have 18 implementation days.</t>
      </text>
    </comment>
  </commentList>
  <extLst>
    <ext uri="GoogleSheetsCustomDataVersion1">
      <go:sheetsCustomData xmlns:go="http://customooxmlschemas.google.com/" r:id="rId1" roundtripDataSignature="AMtx7mhO2FuXpMyyVDbtY+p/IKU6NISCCg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9">
      <text>
        <t xml:space="preserve">======
ID#AAAAJK3bN8Y
Petri Heiramo    (2020-03-04 22:36:48)
Count only active working and implementation days. Do not include Planning Day or Sprint Review.
E.g. a 4-week Sprint would most likely have 18 implementation days.</t>
      </text>
    </comment>
  </commentList>
  <extLst>
    <ext uri="GoogleSheetsCustomDataVersion1">
      <go:sheetsCustomData xmlns:go="http://customooxmlschemas.google.com/" r:id="rId1" roundtripDataSignature="AMtx7mhreK0yll2tNAD/DCp5W61omK3sfQ=="/>
    </ext>
  </extLst>
</comments>
</file>

<file path=xl/comments4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17">
      <text>
        <t xml:space="preserve">======
ID#AAAAJK3bN8k
Petri Heiramo    (2020-03-04 22:36:48)
Average estimate * 1,6</t>
      </text>
    </comment>
    <comment authorId="0" ref="B19">
      <text>
        <t xml:space="preserve">======
ID#AAAAJK3bN8c
Petri Heiramo    (2020-03-04 22:36:48)
As of latest Product Backlog estimate</t>
      </text>
    </comment>
    <comment authorId="0" ref="B15">
      <text>
        <t xml:space="preserve">======
ID#AAAAJK3bN8I
Petri Heiramo    (2020-03-04 22:36:48)
Average estimate * 0,6</t>
      </text>
    </comment>
  </commentList>
  <extLst>
    <ext uri="GoogleSheetsCustomDataVersion1">
      <go:sheetsCustomData xmlns:go="http://customooxmlschemas.google.com/" r:id="rId1" roundtripDataSignature="AMtx7mjjUq9r8Oz8ejBruGGZldBVh1Uvdg=="/>
    </ext>
  </extLst>
</comments>
</file>

<file path=xl/sharedStrings.xml><?xml version="1.0" encoding="utf-8"?>
<sst xmlns="http://schemas.openxmlformats.org/spreadsheetml/2006/main" count="265" uniqueCount="157">
  <si>
    <t>Product Backlog</t>
  </si>
  <si>
    <t>Increment Plan</t>
  </si>
  <si>
    <t>Incr.</t>
  </si>
  <si>
    <t>Start</t>
  </si>
  <si>
    <t xml:space="preserve"> </t>
  </si>
  <si>
    <t>Days</t>
  </si>
  <si>
    <t>End</t>
  </si>
  <si>
    <t>Size</t>
  </si>
  <si>
    <t>Status</t>
  </si>
  <si>
    <t>Release Date</t>
  </si>
  <si>
    <t>Goal</t>
  </si>
  <si>
    <t>Story ID</t>
  </si>
  <si>
    <t>Story name</t>
  </si>
  <si>
    <t>Sprint</t>
  </si>
  <si>
    <t>Priority</t>
  </si>
  <si>
    <t>Comments</t>
  </si>
  <si>
    <t>Booking a spot</t>
  </si>
  <si>
    <t>Planned</t>
  </si>
  <si>
    <t>As the speaker, I want to be able to book a spot that is available which suits me so I can share my knowledge to the community in which people can utilise for future reference.</t>
  </si>
  <si>
    <t>Quality Assurance</t>
  </si>
  <si>
    <t>As a developer, I want to provide a software system that is efficient, reliable, and comprehensible so that any user can navigate with ease</t>
  </si>
  <si>
    <t>Ease of Access</t>
  </si>
  <si>
    <t>As a speaker, I want to be able to create an account, access resources provided and make plans, so that I can use at a later date with ease</t>
  </si>
  <si>
    <t>Checking Confirmation</t>
  </si>
  <si>
    <t>As a speaker, I want to check and confirm that I am speaking on the date I specified so that I can schedule other events around that date</t>
  </si>
  <si>
    <t>Being Notified</t>
  </si>
  <si>
    <t>As a student, I want to be notified of such events in order to attend, either through email or an sms text.</t>
  </si>
  <si>
    <t>Planning a Seminar</t>
  </si>
  <si>
    <t>As a speaker, I would like to know which Fridays of the semester are available to speak at using the softwares in-built calendar, so that I can plan my content in advance.</t>
  </si>
  <si>
    <t>Sprint implementation days</t>
  </si>
  <si>
    <t>Privacy Concerns</t>
  </si>
  <si>
    <t>Effort</t>
  </si>
  <si>
    <t>Remaining on implementation day…</t>
  </si>
  <si>
    <t>As a speaker, I want to be assured that my private information and details that I have given are secured and protected from unauthorised access.</t>
  </si>
  <si>
    <t>Developer Ethics</t>
  </si>
  <si>
    <t>As a developer, I shall not release such private information entered and obtained from the speakers and students to reserve their right of privacy</t>
  </si>
  <si>
    <t>Trend calculated based on last</t>
  </si>
  <si>
    <t>Devs</t>
  </si>
  <si>
    <t>Editing Previous Entries</t>
  </si>
  <si>
    <t>As a speaker, I want to be able to edit my form that I have previously submitted. This is to avoid misinformation that may mislead my target audience if/when I correct any errors and/or make changes in the content that I am presenting.</t>
  </si>
  <si>
    <t>Duplicate Topics</t>
  </si>
  <si>
    <t>Totals</t>
  </si>
  <si>
    <t>As a speaker, I would like see which topics my colleagues are presenting over certain periods of times so that I can choose a unique topic/category to present myself and avoiding identical subjects.</t>
  </si>
  <si>
    <t>Develop Controls</t>
  </si>
  <si>
    <t>As a developer, I need to create software that is able to review a speaker's submitted form, approving or possibly denying their request to speak based on which slots are available.</t>
  </si>
  <si>
    <t>Adminitrator Information</t>
  </si>
  <si>
    <t>As a speaker, I need to be able to easily find contact information of the administrator in charge of the events, in so to contact them directly of any queries I might have.</t>
  </si>
  <si>
    <t>Opting out</t>
  </si>
  <si>
    <t>As a student, I want to have the choice to be able to stop receiving emails from the university regarding seminars because I am currently not interested in attending.</t>
  </si>
  <si>
    <t>Template note: Increment plan is intended to collect individual sprints into larger releases. In smaller projects, this is not needed.</t>
  </si>
  <si>
    <t>Sprint Plan</t>
  </si>
  <si>
    <t>Num Stories</t>
  </si>
  <si>
    <t>Our goal for sprint one is to set up the basic functionality of the service. This includes creating the domain class and allowing for data transfer through a DAO class</t>
  </si>
  <si>
    <t>In sprint two, we hope to implement our database structure and User Interface</t>
  </si>
  <si>
    <t>Finally, in sprint three, our team will work on security measures and any modifcations required for presentation</t>
  </si>
  <si>
    <t>Task rows</t>
  </si>
  <si>
    <t>Done days</t>
  </si>
  <si>
    <t>Warning! These are necessary</t>
  </si>
  <si>
    <t>Unallocated stories</t>
  </si>
  <si>
    <t>Trend</t>
  </si>
  <si>
    <t>template rows</t>
  </si>
  <si>
    <t>Trend Days</t>
  </si>
  <si>
    <t>Task name</t>
  </si>
  <si>
    <t>Responsible</t>
  </si>
  <si>
    <t>Est.</t>
  </si>
  <si>
    <t>Create domain classes for each entity</t>
  </si>
  <si>
    <t>Lucy, Marcos</t>
  </si>
  <si>
    <t>Ongoing</t>
  </si>
  <si>
    <t>Create DAO class that implements methods to create a staff account</t>
  </si>
  <si>
    <t>Josh, Ain</t>
  </si>
  <si>
    <t>Have an update account method in DAO</t>
  </si>
  <si>
    <t>Daniel</t>
  </si>
  <si>
    <t>Create a new account through DAO method</t>
  </si>
  <si>
    <t>Josh, Daniel, Ain</t>
  </si>
  <si>
    <t>Sprint Backlog 2</t>
  </si>
  <si>
    <t>Implemeting a calendar funtion</t>
  </si>
  <si>
    <t>Josh, Marcos</t>
  </si>
  <si>
    <t>Function to view topics</t>
  </si>
  <si>
    <t>Lucy, Ain</t>
  </si>
  <si>
    <t>Features to approve and reject a speakers current spot</t>
  </si>
  <si>
    <t>Danial, Josh</t>
  </si>
  <si>
    <t>Implement administrators information</t>
  </si>
  <si>
    <t>Marcos, Ain, Lucy</t>
  </si>
  <si>
    <t>Speaker notification of confirmation</t>
  </si>
  <si>
    <t>Student notifications</t>
  </si>
  <si>
    <t>Lucy, Marcos, Daniel</t>
  </si>
  <si>
    <t>Security checks and guarding privacy</t>
  </si>
  <si>
    <t>Ain, Daniel</t>
  </si>
  <si>
    <t>Developer ethics to reserve privacy</t>
  </si>
  <si>
    <t>Student unsubscribe function</t>
  </si>
  <si>
    <t>Lucy, Ain, Marcos, Josh</t>
  </si>
  <si>
    <t>Issue Key</t>
  </si>
  <si>
    <t>Summary</t>
  </si>
  <si>
    <t>Description</t>
  </si>
  <si>
    <t>Acceptance Criteria</t>
  </si>
  <si>
    <t>Story Points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</si>
  <si>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</si>
  <si>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</si>
  <si>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</si>
  <si>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</si>
  <si>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</si>
  <si>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</si>
  <si>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</si>
  <si>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</si>
  <si>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</si>
  <si>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</si>
  <si>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</si>
  <si>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</si>
  <si>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</si>
  <si>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</si>
  <si>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</si>
  <si>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</si>
  <si>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Story ID:</t>
  </si>
  <si>
    <t>(i.e. if the amount of story points</t>
  </si>
  <si>
    <t>Average last 8</t>
  </si>
  <si>
    <t>in the project increases, the bottoms move lower). The length</t>
  </si>
  <si>
    <t>Avg. worst 3 in last 8</t>
  </si>
  <si>
    <t>Story:</t>
  </si>
  <si>
    <t>This is a sample story</t>
  </si>
  <si>
    <t>of the bars indicate the estimated size of the project at the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</si>
  <si>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</si>
  <si>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</si>
  <si>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</si>
  <si>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</si>
  <si>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</si>
  <si>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Task:</t>
  </si>
  <si>
    <t>Example task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</si>
  <si>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</si>
  <si>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</si>
  <si>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</si>
  <si>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</si>
  <si>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</si>
  <si>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</si>
  <si>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</si>
  <si>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Initial 
Estimate</t>
  </si>
  <si>
    <t>Realized - St. Dev</t>
  </si>
  <si>
    <t>Work 
Done</t>
  </si>
  <si>
    <t>Work 
Left</t>
  </si>
  <si>
    <t>Average Speeds</t>
  </si>
  <si>
    <t>Remain.Work</t>
  </si>
  <si>
    <t>Planned Work</t>
  </si>
  <si>
    <t>Realized Work</t>
  </si>
  <si>
    <t>Current Total Size</t>
  </si>
  <si>
    <t>Col top</t>
  </si>
  <si>
    <t>Example task 2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</si>
  <si>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</si>
  <si>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</si>
  <si>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</si>
  <si>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</si>
  <si>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</si>
  <si>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</si>
  <si>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</si>
  <si>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</si>
  <si>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</si>
  <si>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This is another sample story</t>
  </si>
  <si>
    <t>Example task 3</t>
  </si>
  <si>
    <t>&lt;Delete these example lines&gt;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</si>
</sst>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\.m\.yyyy"/>
    <numFmt numFmtId="165" formatCode="&quot;Sprint &quot;#&quot; Backlog&quot;"/>
    <numFmt numFmtId="166" formatCode="&quot;Last &quot;###&quot; sprints&quot;"/>
    <numFmt numFmtId="167" formatCode="0.0"/>
  </numFmts>
  <fonts count="14">
    <font>
      <sz val="10.0"/>
      <color rgb="FF000000"/>
      <name val="Arial"/>
    </font>
    <font>
      <sz val="14.0"/>
      <color theme="1"/>
      <name val="Arial"/>
    </font>
    <font>
      <sz val="10.0"/>
      <color theme="1"/>
      <name val="Arial"/>
    </font>
    <font>
      <b/>
      <sz val="10.0"/>
      <color theme="1"/>
      <name val="Arial"/>
    </font>
    <font>
      <b/>
      <sz val="11.0"/>
      <color theme="1"/>
      <name val="Arial"/>
    </font>
    <font>
      <name val="Arial"/>
    </font>
    <font>
      <i/>
      <sz val="10.0"/>
      <color rgb="FF0000FF"/>
      <name val="Arial"/>
    </font>
    <font>
      <sz val="10.0"/>
      <name val="Arial"/>
    </font>
    <font>
      <color theme="1"/>
      <name val="Calibri"/>
    </font>
    <font>
      <b/>
      <sz val="10.0"/>
      <color rgb="FFFF0000"/>
      <name val="Arial"/>
    </font>
    <font>
      <sz val="14.0"/>
      <name val="Arial"/>
    </font>
    <font/>
    <font>
      <b/>
      <sz val="14.0"/>
      <color theme="1"/>
      <name val="Arial"/>
    </font>
    <font>
      <sz val="10.0"/>
      <color rgb="FFFF0000"/>
      <name val="Arial"/>
    </font>
  </fonts>
  <fills count="4">
    <fill>
      <patternFill patternType="none"/>
    </fill>
    <fill>
      <patternFill patternType="lightGray"/>
    </fill>
    <fill>
      <patternFill patternType="solid">
        <fgColor rgb="FFFFCC99"/>
        <bgColor rgb="FFFFCC99"/>
      </patternFill>
    </fill>
    <fill>
      <patternFill patternType="solid">
        <fgColor rgb="FFFFFF99"/>
        <bgColor rgb="FFFFFF99"/>
      </patternFill>
    </fill>
  </fills>
  <borders count="40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top style="thin">
        <color rgb="FF000000"/>
      </top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/>
    </border>
    <border>
      <left/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/>
      <top/>
      <bottom/>
    </border>
    <border>
      <right style="thin">
        <color rgb="FF000000"/>
      </right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right style="medium">
        <color rgb="FF000000"/>
      </right>
      <top style="thin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 style="medium">
        <color rgb="FF000000"/>
      </bottom>
    </border>
  </borders>
  <cellStyleXfs count="1">
    <xf borderId="0" fillId="0" fontId="0" numFmtId="0" applyAlignment="1" applyFont="1"/>
  </cellStyleXfs>
  <cellXfs count="12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top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horizontal="center" shrinkToFit="0" vertical="bottom" wrapText="0"/>
    </xf>
    <xf borderId="1" fillId="0" fontId="3" numFmtId="0" xfId="0" applyAlignment="1" applyBorder="1" applyFont="1">
      <alignment horizontal="center" shrinkToFit="0" vertical="bottom" wrapText="0"/>
    </xf>
    <xf borderId="0" fillId="0" fontId="2" numFmtId="0" xfId="0" applyAlignment="1" applyFont="1">
      <alignment shrinkToFit="0" vertical="top" wrapText="1"/>
    </xf>
    <xf borderId="0" fillId="0" fontId="1" numFmtId="0" xfId="0" applyAlignment="1" applyFont="1">
      <alignment horizontal="center" shrinkToFit="0" vertical="top" wrapText="0"/>
    </xf>
    <xf borderId="2" fillId="0" fontId="3" numFmtId="0" xfId="0" applyAlignment="1" applyBorder="1" applyFont="1">
      <alignment horizontal="center" shrinkToFit="0" vertical="bottom" wrapText="0"/>
    </xf>
    <xf borderId="3" fillId="0" fontId="3" numFmtId="0" xfId="0" applyAlignment="1" applyBorder="1" applyFont="1">
      <alignment horizontal="center" shrinkToFit="0" vertical="bottom" wrapText="0"/>
    </xf>
    <xf borderId="0" fillId="0" fontId="2" numFmtId="0" xfId="0" applyAlignment="1" applyFont="1">
      <alignment horizontal="center" shrinkToFit="0" vertical="top" wrapText="0"/>
    </xf>
    <xf borderId="2" fillId="0" fontId="3" numFmtId="0" xfId="0" applyAlignment="1" applyBorder="1" applyFont="1">
      <alignment shrinkToFit="0" vertical="bottom" wrapText="0"/>
    </xf>
    <xf borderId="0" fillId="0" fontId="2" numFmtId="0" xfId="0" applyAlignment="1" applyFont="1">
      <alignment shrinkToFit="0" vertical="top" wrapText="0"/>
    </xf>
    <xf borderId="4" fillId="0" fontId="3" numFmtId="0" xfId="0" applyAlignment="1" applyBorder="1" applyFont="1">
      <alignment shrinkToFit="0" vertical="bottom" wrapText="0"/>
    </xf>
    <xf borderId="0" fillId="0" fontId="3" numFmtId="0" xfId="0" applyAlignment="1" applyFont="1">
      <alignment shrinkToFit="0" vertical="bottom" wrapText="0"/>
    </xf>
    <xf borderId="5" fillId="2" fontId="2" numFmtId="0" xfId="0" applyAlignment="1" applyBorder="1" applyFill="1" applyFont="1">
      <alignment horizontal="center" shrinkToFit="0" vertical="bottom" wrapText="0"/>
    </xf>
    <xf borderId="6" fillId="2" fontId="3" numFmtId="0" xfId="0" applyAlignment="1" applyBorder="1" applyFont="1">
      <alignment horizontal="center" shrinkToFit="0" vertical="top" wrapText="0"/>
    </xf>
    <xf borderId="6" fillId="2" fontId="3" numFmtId="0" xfId="0" applyAlignment="1" applyBorder="1" applyFont="1">
      <alignment shrinkToFit="0" vertical="top" wrapText="1"/>
    </xf>
    <xf borderId="6" fillId="2" fontId="3" numFmtId="0" xfId="0" applyAlignment="1" applyBorder="1" applyFont="1">
      <alignment horizontal="center" readingOrder="0" shrinkToFit="0" vertical="top" wrapText="0"/>
    </xf>
    <xf borderId="7" fillId="2" fontId="2" numFmtId="164" xfId="0" applyAlignment="1" applyBorder="1" applyFont="1" applyNumberFormat="1">
      <alignment horizontal="center" shrinkToFit="0" vertical="bottom" wrapText="0"/>
    </xf>
    <xf borderId="8" fillId="0" fontId="4" numFmtId="0" xfId="0" applyAlignment="1" applyBorder="1" applyFont="1">
      <alignment horizontal="center" shrinkToFit="0" vertical="top" wrapText="0"/>
    </xf>
    <xf borderId="7" fillId="2" fontId="2" numFmtId="0" xfId="0" applyAlignment="1" applyBorder="1" applyFont="1">
      <alignment horizontal="center" shrinkToFit="0" vertical="bottom" wrapText="0"/>
    </xf>
    <xf borderId="8" fillId="0" fontId="2" numFmtId="0" xfId="0" applyAlignment="1" applyBorder="1" applyFont="1">
      <alignment readingOrder="0" shrinkToFit="0" vertical="top" wrapText="1"/>
    </xf>
    <xf borderId="0" fillId="0" fontId="1" numFmtId="165" xfId="0" applyAlignment="1" applyFont="1" applyNumberFormat="1">
      <alignment horizontal="left" shrinkToFit="0" vertical="top" wrapText="0"/>
    </xf>
    <xf borderId="8" fillId="0" fontId="2" numFmtId="0" xfId="0" applyAlignment="1" applyBorder="1" applyFont="1">
      <alignment horizontal="center" readingOrder="0" shrinkToFit="0" vertical="top" wrapText="0"/>
    </xf>
    <xf borderId="9" fillId="2" fontId="2" numFmtId="0" xfId="0" applyAlignment="1" applyBorder="1" applyFont="1">
      <alignment horizontal="center" shrinkToFit="0" vertical="bottom" wrapText="0"/>
    </xf>
    <xf borderId="0" fillId="0" fontId="5" numFmtId="0" xfId="0" applyAlignment="1" applyFont="1">
      <alignment horizontal="center" readingOrder="0" vertical="top"/>
    </xf>
    <xf borderId="0" fillId="0" fontId="2" numFmtId="0" xfId="0" applyAlignment="1" applyFont="1">
      <alignment shrinkToFit="0" vertical="bottom" wrapText="0"/>
    </xf>
    <xf borderId="8" fillId="0" fontId="2" numFmtId="0" xfId="0" applyAlignment="1" applyBorder="1" applyFont="1">
      <alignment horizontal="center" shrinkToFit="0" vertical="top" wrapText="0"/>
    </xf>
    <xf borderId="0" fillId="0" fontId="1" numFmtId="165" xfId="0" applyAlignment="1" applyFont="1" applyNumberFormat="1">
      <alignment horizontal="center" shrinkToFit="0" vertical="top" wrapText="0"/>
    </xf>
    <xf borderId="3" fillId="0" fontId="2" numFmtId="164" xfId="0" applyAlignment="1" applyBorder="1" applyFont="1" applyNumberFormat="1">
      <alignment horizontal="center" shrinkToFit="0" vertical="bottom" wrapText="0"/>
    </xf>
    <xf borderId="10" fillId="0" fontId="2" numFmtId="0" xfId="0" applyAlignment="1" applyBorder="1" applyFont="1">
      <alignment shrinkToFit="0" vertical="bottom" wrapText="0"/>
    </xf>
    <xf borderId="11" fillId="2" fontId="2" numFmtId="0" xfId="0" applyAlignment="1" applyBorder="1" applyFont="1">
      <alignment horizontal="center" shrinkToFit="0" vertical="bottom" wrapText="0"/>
    </xf>
    <xf borderId="9" fillId="2" fontId="2" numFmtId="164" xfId="0" applyAlignment="1" applyBorder="1" applyFont="1" applyNumberFormat="1">
      <alignment horizontal="center" shrinkToFit="0" vertical="bottom" wrapText="0"/>
    </xf>
    <xf borderId="0" fillId="0" fontId="2" numFmtId="164" xfId="0" applyAlignment="1" applyFont="1" applyNumberFormat="1">
      <alignment horizontal="center" shrinkToFit="0" vertical="bottom" wrapText="0"/>
    </xf>
    <xf borderId="12" fillId="0" fontId="2" numFmtId="0" xfId="0" applyAlignment="1" applyBorder="1" applyFont="1">
      <alignment shrinkToFit="0" vertical="bottom" wrapText="0"/>
    </xf>
    <xf borderId="9" fillId="2" fontId="3" numFmtId="0" xfId="0" applyAlignment="1" applyBorder="1" applyFont="1">
      <alignment shrinkToFit="0" vertical="top" wrapText="0"/>
    </xf>
    <xf borderId="0" fillId="0" fontId="2" numFmtId="0" xfId="0" applyAlignment="1" applyFont="1">
      <alignment horizontal="center" readingOrder="0" shrinkToFit="0" vertical="top" wrapText="0"/>
    </xf>
    <xf borderId="8" fillId="0" fontId="4" numFmtId="0" xfId="0" applyAlignment="1" applyBorder="1" applyFont="1">
      <alignment horizontal="center" readingOrder="0" shrinkToFit="0" vertical="top" wrapText="0"/>
    </xf>
    <xf borderId="9" fillId="2" fontId="2" numFmtId="0" xfId="0" applyAlignment="1" applyBorder="1" applyFont="1">
      <alignment shrinkToFit="0" vertical="top" wrapText="0"/>
    </xf>
    <xf borderId="13" fillId="2" fontId="2" numFmtId="0" xfId="0" applyAlignment="1" applyBorder="1" applyFont="1">
      <alignment horizontal="center" shrinkToFit="0" vertical="bottom" wrapText="0"/>
    </xf>
    <xf borderId="9" fillId="2" fontId="3" numFmtId="0" xfId="0" applyAlignment="1" applyBorder="1" applyFont="1">
      <alignment readingOrder="0" shrinkToFit="0" vertical="top" wrapText="0"/>
    </xf>
    <xf borderId="0" fillId="0" fontId="2" numFmtId="0" xfId="0" applyAlignment="1" applyFont="1">
      <alignment horizontal="center" readingOrder="0" shrinkToFit="0" vertical="top" wrapText="0"/>
    </xf>
    <xf borderId="0" fillId="0" fontId="2" numFmtId="0" xfId="0" applyAlignment="1" applyFont="1">
      <alignment readingOrder="0" shrinkToFit="0" vertical="top" wrapText="0"/>
    </xf>
    <xf borderId="0" fillId="0" fontId="3" numFmtId="0" xfId="0" applyAlignment="1" applyFont="1">
      <alignment horizontal="center" readingOrder="0" shrinkToFit="0" vertical="top" wrapText="0"/>
    </xf>
    <xf borderId="14" fillId="2" fontId="2" numFmtId="164" xfId="0" applyAlignment="1" applyBorder="1" applyFont="1" applyNumberFormat="1">
      <alignment horizontal="center" shrinkToFit="0" vertical="bottom" wrapText="0"/>
    </xf>
    <xf borderId="14" fillId="2" fontId="2" numFmtId="0" xfId="0" applyAlignment="1" applyBorder="1" applyFont="1">
      <alignment horizontal="center" shrinkToFit="0" vertical="bottom" wrapText="0"/>
    </xf>
    <xf borderId="0" fillId="0" fontId="3" numFmtId="0" xfId="0" applyAlignment="1" applyFont="1">
      <alignment horizontal="center" shrinkToFit="0" vertical="top" wrapText="0"/>
    </xf>
    <xf borderId="15" fillId="0" fontId="2" numFmtId="0" xfId="0" applyAlignment="1" applyBorder="1" applyFont="1">
      <alignment shrinkToFit="0" vertical="bottom" wrapText="0"/>
    </xf>
    <xf borderId="15" fillId="0" fontId="2" numFmtId="164" xfId="0" applyAlignment="1" applyBorder="1" applyFont="1" applyNumberFormat="1">
      <alignment horizontal="center" shrinkToFit="0" vertical="bottom" wrapText="0"/>
    </xf>
    <xf borderId="16" fillId="0" fontId="2" numFmtId="0" xfId="0" applyAlignment="1" applyBorder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10" fillId="0" fontId="3" numFmtId="0" xfId="0" applyAlignment="1" applyBorder="1" applyFont="1">
      <alignment shrinkToFit="0" vertical="bottom" wrapText="0"/>
    </xf>
    <xf borderId="8" fillId="0" fontId="3" numFmtId="0" xfId="0" applyAlignment="1" applyBorder="1" applyFont="1">
      <alignment horizontal="center" readingOrder="0" shrinkToFit="0" vertical="bottom" wrapText="0"/>
    </xf>
    <xf borderId="0" fillId="0" fontId="2" numFmtId="14" xfId="0" applyAlignment="1" applyFont="1" applyNumberFormat="1">
      <alignment horizontal="center" readingOrder="0" shrinkToFit="0" vertical="bottom" wrapText="0"/>
    </xf>
    <xf borderId="9" fillId="2" fontId="2" numFmtId="14" xfId="0" applyAlignment="1" applyBorder="1" applyFont="1" applyNumberFormat="1">
      <alignment horizontal="center" shrinkToFit="0" vertical="bottom" wrapText="0"/>
    </xf>
    <xf borderId="9" fillId="2" fontId="2" numFmtId="0" xfId="0" applyAlignment="1" applyBorder="1" applyFont="1">
      <alignment horizontal="center" readingOrder="0" shrinkToFit="0" vertical="bottom" wrapText="0"/>
    </xf>
    <xf borderId="10" fillId="0" fontId="2" numFmtId="0" xfId="0" applyAlignment="1" applyBorder="1" applyFont="1">
      <alignment horizontal="left" readingOrder="0" shrinkToFit="0" vertical="bottom" wrapText="0"/>
    </xf>
    <xf borderId="12" fillId="0" fontId="2" numFmtId="0" xfId="0" applyAlignment="1" applyBorder="1" applyFont="1">
      <alignment horizontal="center" readingOrder="0" shrinkToFit="0" vertical="bottom" wrapText="0"/>
    </xf>
    <xf borderId="12" fillId="0" fontId="2" numFmtId="0" xfId="0" applyAlignment="1" applyBorder="1" applyFont="1">
      <alignment horizontal="left" readingOrder="0" shrinkToFit="0" vertical="bottom" wrapText="0"/>
    </xf>
    <xf borderId="17" fillId="0" fontId="7" numFmtId="0" xfId="0" applyAlignment="1" applyBorder="1" applyFont="1">
      <alignment horizontal="center" readingOrder="0" shrinkToFit="0" vertical="bottom" wrapText="0"/>
    </xf>
    <xf borderId="12" fillId="0" fontId="2" numFmtId="0" xfId="0" applyAlignment="1" applyBorder="1" applyFont="1">
      <alignment horizontal="left" shrinkToFit="0" vertical="bottom" wrapText="0"/>
    </xf>
    <xf borderId="17" fillId="0" fontId="2" numFmtId="0" xfId="0" applyAlignment="1" applyBorder="1" applyFont="1">
      <alignment horizontal="center" shrinkToFit="0" vertical="bottom" wrapText="0"/>
    </xf>
    <xf borderId="0" fillId="0" fontId="8" numFmtId="0" xfId="0" applyFont="1"/>
    <xf borderId="0" fillId="0" fontId="2" numFmtId="17" xfId="0" applyAlignment="1" applyFont="1" applyNumberFormat="1">
      <alignment shrinkToFit="0" vertical="top" wrapText="0"/>
    </xf>
    <xf borderId="0" fillId="0" fontId="2" numFmtId="17" xfId="0" applyAlignment="1" applyFont="1" applyNumberFormat="1">
      <alignment shrinkToFit="0" vertical="top" wrapText="1"/>
    </xf>
    <xf borderId="16" fillId="0" fontId="2" numFmtId="0" xfId="0" applyAlignment="1" applyBorder="1" applyFont="1">
      <alignment horizontal="left" shrinkToFit="0" vertical="bottom" wrapText="0"/>
    </xf>
    <xf borderId="18" fillId="0" fontId="2" numFmtId="0" xfId="0" applyAlignment="1" applyBorder="1" applyFont="1">
      <alignment horizontal="center" shrinkToFit="0" vertical="bottom" wrapText="0"/>
    </xf>
    <xf borderId="3" fillId="0" fontId="2" numFmtId="0" xfId="0" applyAlignment="1" applyBorder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3" fillId="0" fontId="3" numFmtId="0" xfId="0" applyAlignment="1" applyBorder="1" applyFont="1">
      <alignment horizontal="right" shrinkToFit="0" vertical="bottom" wrapText="0"/>
    </xf>
    <xf borderId="3" fillId="0" fontId="2" numFmtId="0" xfId="0" applyAlignment="1" applyBorder="1" applyFont="1">
      <alignment horizontal="center" shrinkToFit="0" vertical="bottom" wrapText="0"/>
    </xf>
    <xf borderId="9" fillId="2" fontId="3" numFmtId="0" xfId="0" applyAlignment="1" applyBorder="1" applyFont="1">
      <alignment horizontal="center" shrinkToFit="0" vertical="top" wrapText="0"/>
    </xf>
    <xf borderId="0" fillId="0" fontId="8" numFmtId="0" xfId="0" applyAlignment="1" applyFont="1">
      <alignment readingOrder="0"/>
    </xf>
    <xf borderId="0" fillId="0" fontId="2" numFmtId="0" xfId="0" applyAlignment="1" applyFont="1">
      <alignment horizontal="center" readingOrder="0" shrinkToFit="0" vertical="bottom" wrapText="0"/>
    </xf>
    <xf borderId="0" fillId="0" fontId="10" numFmtId="165" xfId="0" applyAlignment="1" applyFont="1" applyNumberFormat="1">
      <alignment horizontal="left" readingOrder="0" shrinkToFit="0" vertical="bottom" wrapText="0"/>
    </xf>
    <xf borderId="0" fillId="0" fontId="1" numFmtId="165" xfId="0" applyAlignment="1" applyFont="1" applyNumberFormat="1">
      <alignment horizontal="center" shrinkToFit="0" vertical="bottom" wrapText="0"/>
    </xf>
    <xf borderId="9" fillId="2" fontId="3" numFmtId="0" xfId="0" applyAlignment="1" applyBorder="1" applyFont="1">
      <alignment shrinkToFit="0" vertical="bottom" wrapText="0"/>
    </xf>
    <xf borderId="9" fillId="2" fontId="2" numFmtId="0" xfId="0" applyAlignment="1" applyBorder="1" applyFont="1">
      <alignment shrinkToFit="0" vertical="bottom" wrapText="0"/>
    </xf>
    <xf borderId="9" fillId="2" fontId="3" numFmtId="0" xfId="0" applyAlignment="1" applyBorder="1" applyFont="1">
      <alignment readingOrder="0" shrinkToFit="0" vertical="bottom" wrapText="0"/>
    </xf>
    <xf borderId="0" fillId="0" fontId="3" numFmtId="0" xfId="0" applyAlignment="1" applyFont="1">
      <alignment horizontal="center" readingOrder="0" shrinkToFit="0" vertical="bottom" wrapText="0"/>
    </xf>
    <xf borderId="0" fillId="0" fontId="3" numFmtId="0" xfId="0" applyAlignment="1" applyFont="1">
      <alignment horizontal="center" shrinkToFit="0" vertical="bottom" wrapText="0"/>
    </xf>
    <xf borderId="9" fillId="2" fontId="3" numFmtId="0" xfId="0" applyAlignment="1" applyBorder="1" applyFont="1">
      <alignment horizontal="center" shrinkToFit="0" vertical="bottom" wrapText="0"/>
    </xf>
    <xf borderId="9" fillId="2" fontId="3" numFmtId="0" xfId="0" applyAlignment="1" applyBorder="1" applyFont="1">
      <alignment horizontal="center" readingOrder="0" shrinkToFit="0" vertical="bottom" wrapText="0"/>
    </xf>
    <xf borderId="0" fillId="0" fontId="7" numFmtId="0" xfId="0" applyAlignment="1" applyFont="1">
      <alignment horizontal="center" readingOrder="0" shrinkToFit="0" vertical="bottom" wrapText="0"/>
    </xf>
    <xf borderId="0" fillId="0" fontId="11" numFmtId="0" xfId="0" applyAlignment="1" applyFont="1">
      <alignment readingOrder="0"/>
    </xf>
    <xf borderId="0" fillId="0" fontId="1" numFmtId="165" xfId="0" applyAlignment="1" applyFont="1" applyNumberFormat="1">
      <alignment horizontal="left" readingOrder="0" shrinkToFit="0" vertical="bottom" wrapText="0"/>
    </xf>
    <xf borderId="9" fillId="3" fontId="2" numFmtId="0" xfId="0" applyAlignment="1" applyBorder="1" applyFill="1" applyFont="1">
      <alignment shrinkToFit="0" vertical="bottom" wrapText="0"/>
    </xf>
    <xf borderId="0" fillId="0" fontId="2" numFmtId="166" xfId="0" applyAlignment="1" applyFont="1" applyNumberFormat="1">
      <alignment horizontal="left" shrinkToFit="0" vertical="bottom" wrapText="0"/>
    </xf>
    <xf borderId="9" fillId="3" fontId="2" numFmtId="167" xfId="0" applyAlignment="1" applyBorder="1" applyFont="1" applyNumberFormat="1">
      <alignment shrinkToFit="0" vertical="bottom" wrapText="0"/>
    </xf>
    <xf borderId="19" fillId="0" fontId="2" numFmtId="0" xfId="0" applyAlignment="1" applyBorder="1" applyFont="1">
      <alignment shrinkToFit="0" vertical="top" wrapText="0"/>
    </xf>
    <xf borderId="20" fillId="0" fontId="3" numFmtId="0" xfId="0" applyAlignment="1" applyBorder="1" applyFont="1">
      <alignment horizontal="center" shrinkToFit="0" vertical="top" wrapText="0"/>
    </xf>
    <xf borderId="21" fillId="0" fontId="2" numFmtId="0" xfId="0" applyAlignment="1" applyBorder="1" applyFont="1">
      <alignment shrinkToFit="0" vertical="top" wrapText="0"/>
    </xf>
    <xf borderId="22" fillId="0" fontId="2" numFmtId="0" xfId="0" applyAlignment="1" applyBorder="1" applyFont="1">
      <alignment shrinkToFit="0" vertical="top" wrapText="0"/>
    </xf>
    <xf borderId="23" fillId="0" fontId="2" numFmtId="0" xfId="0" applyAlignment="1" applyBorder="1" applyFont="1">
      <alignment shrinkToFit="0" vertical="top" wrapText="0"/>
    </xf>
    <xf borderId="24" fillId="0" fontId="2" numFmtId="0" xfId="0" applyAlignment="1" applyBorder="1" applyFont="1">
      <alignment shrinkToFit="0" vertical="top" wrapText="0"/>
    </xf>
    <xf borderId="9" fillId="3" fontId="2" numFmtId="1" xfId="0" applyAlignment="1" applyBorder="1" applyFont="1" applyNumberFormat="1">
      <alignment shrinkToFit="0" vertical="bottom" wrapText="0"/>
    </xf>
    <xf borderId="3" fillId="0" fontId="2" numFmtId="0" xfId="0" applyAlignment="1" applyBorder="1" applyFont="1">
      <alignment shrinkToFit="0" vertical="top" wrapText="0"/>
    </xf>
    <xf borderId="25" fillId="0" fontId="2" numFmtId="0" xfId="0" applyAlignment="1" applyBorder="1" applyFont="1">
      <alignment shrinkToFit="0" vertical="top" wrapText="0"/>
    </xf>
    <xf borderId="26" fillId="0" fontId="2" numFmtId="0" xfId="0" applyAlignment="1" applyBorder="1" applyFont="1">
      <alignment shrinkToFit="0" vertical="top" wrapText="0"/>
    </xf>
    <xf borderId="27" fillId="0" fontId="2" numFmtId="0" xfId="0" applyAlignment="1" applyBorder="1" applyFont="1">
      <alignment shrinkToFit="0" vertical="top" wrapText="0"/>
    </xf>
    <xf borderId="28" fillId="0" fontId="2" numFmtId="0" xfId="0" applyAlignment="1" applyBorder="1" applyFont="1">
      <alignment shrinkToFit="0" vertical="top" wrapText="0"/>
    </xf>
    <xf borderId="15" fillId="0" fontId="2" numFmtId="0" xfId="0" applyAlignment="1" applyBorder="1" applyFont="1">
      <alignment shrinkToFit="0" vertical="top" wrapText="0"/>
    </xf>
    <xf borderId="29" fillId="0" fontId="2" numFmtId="0" xfId="0" applyAlignment="1" applyBorder="1" applyFont="1">
      <alignment shrinkToFit="0" vertical="top" wrapText="0"/>
    </xf>
    <xf borderId="30" fillId="0" fontId="2" numFmtId="0" xfId="0" applyAlignment="1" applyBorder="1" applyFont="1">
      <alignment shrinkToFit="0" vertical="top" wrapText="0"/>
    </xf>
    <xf borderId="2" fillId="0" fontId="2" numFmtId="0" xfId="0" applyAlignment="1" applyBorder="1" applyFont="1">
      <alignment shrinkToFit="0" vertical="top" wrapText="0"/>
    </xf>
    <xf borderId="31" fillId="0" fontId="2" numFmtId="0" xfId="0" applyAlignment="1" applyBorder="1" applyFont="1">
      <alignment shrinkToFit="0" vertical="top" wrapText="0"/>
    </xf>
    <xf borderId="32" fillId="0" fontId="2" numFmtId="0" xfId="0" applyAlignment="1" applyBorder="1" applyFont="1">
      <alignment shrinkToFit="0" vertical="top" wrapText="1"/>
    </xf>
    <xf borderId="33" fillId="0" fontId="12" numFmtId="0" xfId="0" applyAlignment="1" applyBorder="1" applyFont="1">
      <alignment horizontal="center" shrinkToFit="0" vertical="center" wrapText="0"/>
    </xf>
    <xf borderId="34" fillId="0" fontId="2" numFmtId="0" xfId="0" applyAlignment="1" applyBorder="1" applyFont="1">
      <alignment shrinkToFit="0" vertical="top" wrapText="1"/>
    </xf>
    <xf borderId="33" fillId="0" fontId="2" numFmtId="0" xfId="0" applyAlignment="1" applyBorder="1" applyFont="1">
      <alignment shrinkToFit="0" vertical="top" wrapText="0"/>
    </xf>
    <xf borderId="35" fillId="0" fontId="2" numFmtId="0" xfId="0" applyAlignment="1" applyBorder="1" applyFont="1">
      <alignment shrinkToFit="0" vertical="top" wrapText="0"/>
    </xf>
    <xf borderId="36" fillId="2" fontId="3" numFmtId="0" xfId="0" applyAlignment="1" applyBorder="1" applyFont="1">
      <alignment horizontal="center" shrinkToFit="0" vertical="bottom" wrapText="1"/>
    </xf>
    <xf borderId="37" fillId="0" fontId="11" numFmtId="0" xfId="0" applyBorder="1" applyFont="1"/>
    <xf borderId="38" fillId="0" fontId="11" numFmtId="0" xfId="0" applyBorder="1" applyFont="1"/>
    <xf borderId="39" fillId="2" fontId="3" numFmtId="0" xfId="0" applyAlignment="1" applyBorder="1" applyFont="1">
      <alignment horizontal="center" shrinkToFit="0" vertical="bottom" wrapText="0"/>
    </xf>
    <xf borderId="39" fillId="2" fontId="3" numFmtId="0" xfId="0" applyAlignment="1" applyBorder="1" applyFont="1">
      <alignment shrinkToFit="0" vertical="bottom" wrapText="1"/>
    </xf>
    <xf borderId="39" fillId="2" fontId="3" numFmtId="0" xfId="0" applyAlignment="1" applyBorder="1" applyFont="1">
      <alignment horizontal="center" shrinkToFit="0" vertical="bottom" wrapText="1"/>
    </xf>
    <xf borderId="9" fillId="2" fontId="3" numFmtId="0" xfId="0" applyAlignment="1" applyBorder="1" applyFont="1">
      <alignment horizontal="center" shrinkToFit="0" vertical="bottom" wrapText="1"/>
    </xf>
    <xf borderId="36" fillId="2" fontId="13" numFmtId="0" xfId="0" applyAlignment="1" applyBorder="1" applyFont="1">
      <alignment horizontal="center" shrinkToFit="0" vertical="bottom" wrapText="1"/>
    </xf>
    <xf borderId="0" fillId="0" fontId="2" numFmtId="0" xfId="0" applyAlignment="1" applyFont="1">
      <alignment shrinkToFit="0" vertical="bottom" wrapText="1"/>
    </xf>
    <xf borderId="9" fillId="2" fontId="3" numFmtId="0" xfId="0" applyAlignment="1" applyBorder="1" applyFont="1">
      <alignment horizontal="left" shrinkToFit="0" vertical="bottom" wrapText="1"/>
    </xf>
    <xf borderId="9" fillId="3" fontId="2" numFmtId="0" xfId="0" applyAlignment="1" applyBorder="1" applyFont="1">
      <alignment horizontal="center" shrinkToFit="0" vertical="bottom" wrapText="0"/>
    </xf>
    <xf borderId="0" fillId="0" fontId="2" numFmtId="167" xfId="0" applyAlignment="1" applyFont="1" applyNumberFormat="1">
      <alignment shrinkToFit="0" vertical="bottom" wrapText="0"/>
    </xf>
    <xf borderId="9" fillId="3" fontId="7" numFmtId="0" xfId="0" applyAlignment="1" applyBorder="1" applyFont="1">
      <alignment horizontal="center" shrinkToFit="0" vertical="bottom" wrapText="0"/>
    </xf>
  </cellXfs>
  <cellStyles count="1">
    <cellStyle xfId="0" name="Normal" builtinId="0"/>
  </cellStyles>
  <dxfs count="7">
    <dxf>
      <font>
        <color rgb="FF666699"/>
      </font>
      <fill>
        <patternFill patternType="none"/>
      </fill>
      <border/>
    </dxf>
    <dxf>
      <font/>
      <fill>
        <patternFill patternType="none"/>
      </fill>
      <border/>
    </dxf>
    <dxf>
      <font>
        <color rgb="FFFFFFFF"/>
      </font>
      <fill>
        <patternFill patternType="none"/>
      </fill>
      <border/>
    </dxf>
    <dxf>
      <font/>
      <fill>
        <patternFill patternType="solid">
          <fgColor rgb="FFB7E1CD"/>
          <bgColor rgb="FFB7E1CD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FFF99"/>
          <bgColor rgb="FFFFFF99"/>
        </patternFill>
      </fill>
      <border/>
    </dxf>
    <dxf>
      <font/>
      <fill>
        <patternFill patternType="solid">
          <fgColor rgb="FFCCFFCC"/>
          <bgColor rgb="FFCCFFCC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</c:spPr>
          <c:val>
            <c:numRef>
              <c:f>'Sp1'!$F$11:$AD$11</c:f>
            </c:numRef>
          </c:val>
        </c:ser>
        <c:axId val="406810858"/>
        <c:axId val="886938918"/>
      </c:barChart>
      <c:catAx>
        <c:axId val="40681085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86938918"/>
      </c:catAx>
      <c:valAx>
        <c:axId val="886938918"/>
        <c:scaling>
          <c:orientation val="minMax"/>
          <c:min val="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800">
                    <a:solidFill>
                      <a:srgbClr val="000000"/>
                    </a:solidFill>
                    <a:latin typeface="+mn-lt"/>
                  </a:defRPr>
                </a:pPr>
                <a:r>
                  <a:t>Work Remaining (h)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06810858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</c:spPr>
          <c:val>
            <c:numRef>
              <c:f>'Sp2'!$F$11:$AD$11</c:f>
            </c:numRef>
          </c:val>
        </c:ser>
        <c:axId val="1990281682"/>
        <c:axId val="939461666"/>
      </c:barChart>
      <c:catAx>
        <c:axId val="19902816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39461666"/>
      </c:catAx>
      <c:valAx>
        <c:axId val="939461666"/>
        <c:scaling>
          <c:orientation val="minMax"/>
          <c:min val="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800">
                    <a:solidFill>
                      <a:srgbClr val="000000"/>
                    </a:solidFill>
                    <a:latin typeface="+mn-lt"/>
                  </a:defRPr>
                </a:pPr>
                <a:r>
                  <a:t>Work Remaining (h)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90281682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</c:spPr>
          <c:val>
            <c:numRef>
              <c:f>'Sp3'!$F$11:$AD$11</c:f>
            </c:numRef>
          </c:val>
        </c:ser>
        <c:axId val="959468983"/>
        <c:axId val="1544377237"/>
      </c:barChart>
      <c:catAx>
        <c:axId val="959468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44377237"/>
      </c:catAx>
      <c:valAx>
        <c:axId val="1544377237"/>
        <c:scaling>
          <c:orientation val="minMax"/>
          <c:min val="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 i="0" sz="800">
                    <a:solidFill>
                      <a:srgbClr val="000000"/>
                    </a:solidFill>
                    <a:latin typeface="+mn-lt"/>
                  </a:defRPr>
                </a:pPr>
                <a:r>
                  <a:t>Work Remaining (h)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59468983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476250</xdr:colOff>
      <xdr:row>19</xdr:row>
      <xdr:rowOff>19050</xdr:rowOff>
    </xdr:from>
    <xdr:ext cx="9020175" cy="1285875"/>
    <xdr:graphicFrame>
      <xdr:nvGraphicFramePr>
        <xdr:cNvPr descr="Chart 0" id="2053805457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495300</xdr:colOff>
      <xdr:row>24</xdr:row>
      <xdr:rowOff>152400</xdr:rowOff>
    </xdr:from>
    <xdr:ext cx="9020175" cy="1285875"/>
    <xdr:graphicFrame>
      <xdr:nvGraphicFramePr>
        <xdr:cNvPr descr="Chart 0" id="745145941" name="Chart 2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495300</xdr:colOff>
      <xdr:row>24</xdr:row>
      <xdr:rowOff>152400</xdr:rowOff>
    </xdr:from>
    <xdr:ext cx="9020175" cy="1285875"/>
    <xdr:graphicFrame>
      <xdr:nvGraphicFramePr>
        <xdr:cNvPr descr="Chart 0" id="33592949" name="Chart 3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4.v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2" width="10.43"/>
    <col customWidth="1" min="3" max="3" width="9.57"/>
    <col customWidth="1" min="4" max="5" width="10.71"/>
    <col customWidth="1" min="6" max="6" width="8.0"/>
    <col customWidth="1" min="7" max="7" width="13.71"/>
    <col customWidth="1" min="8" max="8" width="83.71"/>
    <col customWidth="1" min="9" max="9" width="10.71"/>
    <col customWidth="1" min="10" max="26" width="8.0"/>
  </cols>
  <sheetData>
    <row r="1" ht="17.25" customHeight="1">
      <c r="A1" s="2" t="s">
        <v>1</v>
      </c>
      <c r="G1" s="3"/>
    </row>
    <row r="2" ht="12.75" customHeight="1">
      <c r="G2" s="3"/>
    </row>
    <row r="3" ht="12.75" customHeight="1">
      <c r="A3" s="4" t="s">
        <v>2</v>
      </c>
      <c r="B3" s="7" t="s">
        <v>3</v>
      </c>
      <c r="C3" s="8" t="s">
        <v>5</v>
      </c>
      <c r="D3" s="8" t="s">
        <v>6</v>
      </c>
      <c r="E3" s="7" t="s">
        <v>7</v>
      </c>
      <c r="F3" s="10" t="s">
        <v>8</v>
      </c>
      <c r="G3" s="7" t="s">
        <v>9</v>
      </c>
      <c r="H3" s="12" t="s">
        <v>10</v>
      </c>
      <c r="I3" s="13"/>
      <c r="J3" s="13"/>
    </row>
    <row r="4" ht="12.75" customHeight="1">
      <c r="A4" s="14">
        <v>1.0</v>
      </c>
      <c r="B4" s="18">
        <f>IF(OR(B16="",A4=""),"",B16)</f>
        <v>43927</v>
      </c>
      <c r="C4" s="20">
        <f t="shared" ref="C4:C10" si="1">IF(A4="","",SUMIF(I$16:I$30,A4,C$16:C$30))</f>
        <v>0</v>
      </c>
      <c r="D4" s="18">
        <f t="shared" ref="D4:D10" si="2">IF(OR(B4="",C4=""),"",B4+C4-1)</f>
        <v>43926</v>
      </c>
      <c r="E4" s="24">
        <f>IF(A4="","",SUMIF(I$16:I$30,'Release Plan'!A4,E$16:E$30))</f>
        <v>0</v>
      </c>
      <c r="F4" s="26"/>
      <c r="G4" s="29"/>
      <c r="H4" s="30"/>
    </row>
    <row r="5" ht="12.75" customHeight="1">
      <c r="A5" s="31">
        <v>2.0</v>
      </c>
      <c r="B5" s="32">
        <f>IF(A5="","",B4+C4)</f>
        <v>43927</v>
      </c>
      <c r="C5" s="24">
        <f t="shared" si="1"/>
        <v>0</v>
      </c>
      <c r="D5" s="32">
        <f t="shared" si="2"/>
        <v>43926</v>
      </c>
      <c r="E5" s="24">
        <f>IF(A5="","",SUMIF(I$16:I$30,'Release Plan'!A5,E$16:E$30))</f>
        <v>0</v>
      </c>
      <c r="F5" s="26"/>
      <c r="G5" s="33"/>
      <c r="H5" s="34"/>
    </row>
    <row r="6" ht="12.75" customHeight="1">
      <c r="A6" s="31"/>
      <c r="B6" s="32"/>
      <c r="C6" s="24" t="str">
        <f t="shared" si="1"/>
        <v/>
      </c>
      <c r="D6" s="32" t="str">
        <f t="shared" si="2"/>
        <v/>
      </c>
      <c r="E6" s="24" t="str">
        <f>IF(A6="","",SUMIF(I$16:I$30,'Release Plan'!A6,E$16:E$30))</f>
        <v/>
      </c>
      <c r="F6" s="26"/>
      <c r="G6" s="33"/>
      <c r="H6" s="34"/>
    </row>
    <row r="7" ht="12.75" customHeight="1">
      <c r="A7" s="31"/>
      <c r="B7" s="32"/>
      <c r="C7" s="24" t="str">
        <f t="shared" si="1"/>
        <v/>
      </c>
      <c r="D7" s="32" t="str">
        <f t="shared" si="2"/>
        <v/>
      </c>
      <c r="E7" s="24" t="str">
        <f>IF(A7="","",SUMIF(I$16:I$30,'Release Plan'!A7,E$16:E$30))</f>
        <v/>
      </c>
      <c r="F7" s="26"/>
      <c r="G7" s="33"/>
      <c r="H7" s="34"/>
    </row>
    <row r="8" ht="12.75" customHeight="1">
      <c r="A8" s="31"/>
      <c r="B8" s="32"/>
      <c r="C8" s="24" t="str">
        <f t="shared" si="1"/>
        <v/>
      </c>
      <c r="D8" s="32" t="str">
        <f t="shared" si="2"/>
        <v/>
      </c>
      <c r="E8" s="24" t="str">
        <f>IF(A8="","",SUMIF(I$16:I$30,'Release Plan'!A8,E$16:E$30))</f>
        <v/>
      </c>
      <c r="F8" s="26"/>
      <c r="G8" s="33"/>
      <c r="H8" s="34"/>
    </row>
    <row r="9" ht="12.75" customHeight="1">
      <c r="A9" s="31"/>
      <c r="B9" s="32"/>
      <c r="C9" s="24" t="str">
        <f t="shared" si="1"/>
        <v/>
      </c>
      <c r="D9" s="32" t="str">
        <f t="shared" si="2"/>
        <v/>
      </c>
      <c r="E9" s="24" t="str">
        <f>IF(A9="","",SUMIF(I$16:I$30,'Release Plan'!A9,E$16:E$30))</f>
        <v/>
      </c>
      <c r="F9" s="26"/>
      <c r="G9" s="33"/>
      <c r="H9" s="34"/>
    </row>
    <row r="10" ht="12.75" customHeight="1">
      <c r="A10" s="39"/>
      <c r="B10" s="44"/>
      <c r="C10" s="45" t="str">
        <f t="shared" si="1"/>
        <v/>
      </c>
      <c r="D10" s="44" t="str">
        <f t="shared" si="2"/>
        <v/>
      </c>
      <c r="E10" s="45" t="str">
        <f>IF(A10="","",SUMIF(I$16:I$30,'Release Plan'!A10,E$16:E$30))</f>
        <v/>
      </c>
      <c r="F10" s="47"/>
      <c r="G10" s="48"/>
      <c r="H10" s="49"/>
    </row>
    <row r="11" ht="12.75" customHeight="1">
      <c r="A11" s="50" t="s">
        <v>49</v>
      </c>
      <c r="G11" s="3"/>
    </row>
    <row r="12" ht="12.75" customHeight="1">
      <c r="G12" s="3"/>
    </row>
    <row r="13" ht="17.25" customHeight="1">
      <c r="A13" s="2" t="s">
        <v>50</v>
      </c>
      <c r="G13" s="3"/>
    </row>
    <row r="14" ht="12.75" customHeight="1">
      <c r="G14" s="3"/>
    </row>
    <row r="15" ht="12.75" customHeight="1">
      <c r="A15" s="4" t="s">
        <v>13</v>
      </c>
      <c r="B15" s="7" t="s">
        <v>3</v>
      </c>
      <c r="C15" s="7" t="s">
        <v>5</v>
      </c>
      <c r="D15" s="7" t="s">
        <v>6</v>
      </c>
      <c r="E15" s="7" t="s">
        <v>7</v>
      </c>
      <c r="F15" s="10" t="s">
        <v>8</v>
      </c>
      <c r="G15" s="7" t="s">
        <v>9</v>
      </c>
      <c r="H15" s="51" t="s">
        <v>10</v>
      </c>
      <c r="I15" s="52" t="s">
        <v>51</v>
      </c>
      <c r="J15" s="13"/>
    </row>
    <row r="16" ht="13.5" customHeight="1">
      <c r="A16" s="24">
        <v>1.0</v>
      </c>
      <c r="B16" s="53">
        <v>43927.0</v>
      </c>
      <c r="C16" s="3">
        <v>14.0</v>
      </c>
      <c r="D16" s="54">
        <f t="shared" ref="D16:D30" si="3">IF(AND(B16&lt;&gt;"",C16&lt;&gt;""),B16+C16-1,"")</f>
        <v>43940</v>
      </c>
      <c r="E16" s="55">
        <v>12.0</v>
      </c>
      <c r="F16" s="26" t="s">
        <v>17</v>
      </c>
      <c r="G16" s="3"/>
      <c r="H16" s="56" t="s">
        <v>52</v>
      </c>
      <c r="I16" s="57">
        <v>4.0</v>
      </c>
    </row>
    <row r="17" ht="12.75" customHeight="1">
      <c r="A17" s="24">
        <v>2.0</v>
      </c>
      <c r="B17" s="54">
        <f t="shared" ref="B17:B18" si="4">IF(AND(B16&lt;&gt;"",C16&lt;&gt;"",C17&lt;&gt;""),B16+C16,"")</f>
        <v>43941</v>
      </c>
      <c r="C17" s="3">
        <v>14.0</v>
      </c>
      <c r="D17" s="54">
        <f t="shared" si="3"/>
        <v>43954</v>
      </c>
      <c r="E17" s="24">
        <f>IF(A17="","",SUMIF('Product Backlog'!E$4:E$102,'Release Plan'!A17,'Product Backlog'!D$4:D$102))</f>
        <v>11</v>
      </c>
      <c r="F17" s="26" t="s">
        <v>17</v>
      </c>
      <c r="G17" s="3"/>
      <c r="H17" s="58" t="s">
        <v>53</v>
      </c>
      <c r="I17" s="59">
        <v>4.0</v>
      </c>
    </row>
    <row r="18" ht="12.75" customHeight="1">
      <c r="A18" s="24">
        <v>3.0</v>
      </c>
      <c r="B18" s="54">
        <f t="shared" si="4"/>
        <v>43955</v>
      </c>
      <c r="C18" s="3">
        <v>14.0</v>
      </c>
      <c r="D18" s="54">
        <f t="shared" si="3"/>
        <v>43968</v>
      </c>
      <c r="E18" s="55">
        <v>8.0</v>
      </c>
      <c r="F18" s="26" t="str">
        <f t="shared" ref="F18:F30" si="5">IF(AND(OR(F17="Planned",F17="Ongoing"),C18&lt;&gt;""),"Planned","Unplanned")</f>
        <v>Planned</v>
      </c>
      <c r="G18" s="3"/>
      <c r="H18" s="58" t="s">
        <v>54</v>
      </c>
      <c r="I18" s="59">
        <v>5.0</v>
      </c>
    </row>
    <row r="19" ht="12.75" customHeight="1">
      <c r="A19" s="24"/>
      <c r="B19" s="54"/>
      <c r="C19" s="3"/>
      <c r="D19" s="54" t="str">
        <f t="shared" si="3"/>
        <v/>
      </c>
      <c r="E19" s="24" t="str">
        <f>IF(A19="","",SUMIF('Product Backlog'!E$4:E$102,'Release Plan'!A19,'Product Backlog'!D$4:D$102))</f>
        <v/>
      </c>
      <c r="F19" s="26" t="str">
        <f t="shared" si="5"/>
        <v>Unplanned</v>
      </c>
      <c r="G19" s="3"/>
      <c r="H19" s="60"/>
      <c r="I19" s="61"/>
    </row>
    <row r="20" ht="12.75" customHeight="1">
      <c r="A20" s="24"/>
      <c r="B20" s="54" t="str">
        <f t="shared" ref="B20:B30" si="6">IF(AND(B19&lt;&gt;"",C19&lt;&gt;"",C20&lt;&gt;""),B19+C19,"")</f>
        <v/>
      </c>
      <c r="C20" s="3"/>
      <c r="D20" s="54" t="str">
        <f t="shared" si="3"/>
        <v/>
      </c>
      <c r="E20" s="24" t="str">
        <f>IF(A20="","",SUMIF('Product Backlog'!E$4:E$102,'Release Plan'!A20,'Product Backlog'!D$4:D$102))</f>
        <v/>
      </c>
      <c r="F20" s="26" t="str">
        <f t="shared" si="5"/>
        <v>Unplanned</v>
      </c>
      <c r="G20" s="3"/>
      <c r="H20" s="60"/>
      <c r="I20" s="61"/>
    </row>
    <row r="21" ht="12.75" customHeight="1">
      <c r="A21" s="24"/>
      <c r="B21" s="54" t="str">
        <f t="shared" si="6"/>
        <v/>
      </c>
      <c r="C21" s="3"/>
      <c r="D21" s="54" t="str">
        <f t="shared" si="3"/>
        <v/>
      </c>
      <c r="E21" s="24" t="str">
        <f>IF(A21="","",SUMIF('Product Backlog'!E$4:E$102,'Release Plan'!A21,'Product Backlog'!D$4:D$102))</f>
        <v/>
      </c>
      <c r="F21" s="26" t="str">
        <f t="shared" si="5"/>
        <v>Unplanned</v>
      </c>
      <c r="G21" s="3"/>
      <c r="H21" s="60"/>
      <c r="I21" s="61"/>
    </row>
    <row r="22" ht="12.75" customHeight="1">
      <c r="A22" s="24" t="str">
        <f t="shared" ref="A22:A30" si="7">IF(AND(B22&lt;&gt;"",C22&lt;&gt;""),A21+1,"")</f>
        <v/>
      </c>
      <c r="B22" s="54" t="str">
        <f t="shared" si="6"/>
        <v/>
      </c>
      <c r="C22" s="3"/>
      <c r="D22" s="54" t="str">
        <f t="shared" si="3"/>
        <v/>
      </c>
      <c r="E22" s="24" t="str">
        <f>IF(A22="","",SUMIF('Product Backlog'!E$5:E$102,'Release Plan'!A22,'Product Backlog'!D$5:D$102))</f>
        <v/>
      </c>
      <c r="F22" s="26" t="str">
        <f t="shared" si="5"/>
        <v>Unplanned</v>
      </c>
      <c r="G22" s="3"/>
      <c r="H22" s="60"/>
      <c r="I22" s="61"/>
    </row>
    <row r="23" ht="12.75" customHeight="1">
      <c r="A23" s="24" t="str">
        <f t="shared" si="7"/>
        <v/>
      </c>
      <c r="B23" s="54" t="str">
        <f t="shared" si="6"/>
        <v/>
      </c>
      <c r="C23" s="3"/>
      <c r="D23" s="54" t="str">
        <f t="shared" si="3"/>
        <v/>
      </c>
      <c r="E23" s="24" t="str">
        <f>IF(A23="","",SUMIF('Product Backlog'!E$5:E$102,'Release Plan'!A23,'Product Backlog'!D$5:D$102))</f>
        <v/>
      </c>
      <c r="F23" s="26" t="str">
        <f t="shared" si="5"/>
        <v>Unplanned</v>
      </c>
      <c r="G23" s="3"/>
      <c r="H23" s="60"/>
      <c r="I23" s="61"/>
    </row>
    <row r="24" ht="12.75" customHeight="1">
      <c r="A24" s="24" t="str">
        <f t="shared" si="7"/>
        <v/>
      </c>
      <c r="B24" s="54" t="str">
        <f t="shared" si="6"/>
        <v/>
      </c>
      <c r="C24" s="3"/>
      <c r="D24" s="54" t="str">
        <f t="shared" si="3"/>
        <v/>
      </c>
      <c r="E24" s="24" t="str">
        <f>IF(A24="","",SUMIF('Product Backlog'!E$5:E$102,'Release Plan'!A24,'Product Backlog'!D$5:D$102))</f>
        <v/>
      </c>
      <c r="F24" s="26" t="str">
        <f t="shared" si="5"/>
        <v>Unplanned</v>
      </c>
      <c r="G24" s="3"/>
      <c r="H24" s="60"/>
      <c r="I24" s="61"/>
    </row>
    <row r="25" ht="12.75" customHeight="1">
      <c r="A25" s="24" t="str">
        <f t="shared" si="7"/>
        <v/>
      </c>
      <c r="B25" s="54" t="str">
        <f t="shared" si="6"/>
        <v/>
      </c>
      <c r="C25" s="3"/>
      <c r="D25" s="54" t="str">
        <f t="shared" si="3"/>
        <v/>
      </c>
      <c r="E25" s="24" t="str">
        <f>IF(A25="","",SUMIF('Product Backlog'!E$5:E$102,'Release Plan'!A25,'Product Backlog'!D$5:D$102))</f>
        <v/>
      </c>
      <c r="F25" s="26" t="str">
        <f t="shared" si="5"/>
        <v>Unplanned</v>
      </c>
      <c r="G25" s="3"/>
      <c r="H25" s="60"/>
      <c r="I25" s="61"/>
    </row>
    <row r="26" ht="12.75" customHeight="1">
      <c r="A26" s="24" t="str">
        <f t="shared" si="7"/>
        <v/>
      </c>
      <c r="B26" s="54" t="str">
        <f t="shared" si="6"/>
        <v/>
      </c>
      <c r="C26" s="3"/>
      <c r="D26" s="54" t="str">
        <f t="shared" si="3"/>
        <v/>
      </c>
      <c r="E26" s="24" t="str">
        <f>IF(A26="","",SUMIF('Product Backlog'!E$5:E$102,'Release Plan'!A26,'Product Backlog'!D$5:D$102))</f>
        <v/>
      </c>
      <c r="F26" s="26" t="str">
        <f t="shared" si="5"/>
        <v>Unplanned</v>
      </c>
      <c r="G26" s="3"/>
      <c r="H26" s="60"/>
      <c r="I26" s="61"/>
    </row>
    <row r="27" ht="12.75" customHeight="1">
      <c r="A27" s="24" t="str">
        <f t="shared" si="7"/>
        <v/>
      </c>
      <c r="B27" s="54" t="str">
        <f t="shared" si="6"/>
        <v/>
      </c>
      <c r="C27" s="3"/>
      <c r="D27" s="54" t="str">
        <f t="shared" si="3"/>
        <v/>
      </c>
      <c r="E27" s="24" t="str">
        <f>IF(A27="","",SUMIF('Product Backlog'!E$5:E$102,'Release Plan'!A27,'Product Backlog'!D$5:D$102))</f>
        <v/>
      </c>
      <c r="F27" s="26" t="str">
        <f t="shared" si="5"/>
        <v>Unplanned</v>
      </c>
      <c r="G27" s="3"/>
      <c r="H27" s="60"/>
      <c r="I27" s="61"/>
    </row>
    <row r="28" ht="12.75" customHeight="1">
      <c r="A28" s="24" t="str">
        <f t="shared" si="7"/>
        <v/>
      </c>
      <c r="B28" s="54" t="str">
        <f t="shared" si="6"/>
        <v/>
      </c>
      <c r="C28" s="3"/>
      <c r="D28" s="54" t="str">
        <f t="shared" si="3"/>
        <v/>
      </c>
      <c r="E28" s="24" t="str">
        <f>IF(A28="","",SUMIF('Product Backlog'!E$5:E$102,'Release Plan'!A28,'Product Backlog'!D$5:D$102))</f>
        <v/>
      </c>
      <c r="F28" s="26" t="str">
        <f t="shared" si="5"/>
        <v>Unplanned</v>
      </c>
      <c r="G28" s="3"/>
      <c r="H28" s="60"/>
      <c r="I28" s="61"/>
    </row>
    <row r="29" ht="12.75" customHeight="1">
      <c r="A29" s="24" t="str">
        <f t="shared" si="7"/>
        <v/>
      </c>
      <c r="B29" s="54" t="str">
        <f t="shared" si="6"/>
        <v/>
      </c>
      <c r="C29" s="3"/>
      <c r="D29" s="54" t="str">
        <f t="shared" si="3"/>
        <v/>
      </c>
      <c r="E29" s="24" t="str">
        <f>IF(A29="","",SUMIF('Product Backlog'!E$5:E$102,'Release Plan'!A29,'Product Backlog'!D$5:D$102))</f>
        <v/>
      </c>
      <c r="F29" s="26" t="str">
        <f t="shared" si="5"/>
        <v>Unplanned</v>
      </c>
      <c r="G29" s="3"/>
      <c r="H29" s="60"/>
      <c r="I29" s="61"/>
    </row>
    <row r="30" ht="12.75" customHeight="1">
      <c r="A30" s="24" t="str">
        <f t="shared" si="7"/>
        <v/>
      </c>
      <c r="B30" s="54" t="str">
        <f t="shared" si="6"/>
        <v/>
      </c>
      <c r="C30" s="3"/>
      <c r="D30" s="54" t="str">
        <f t="shared" si="3"/>
        <v/>
      </c>
      <c r="E30" s="24" t="str">
        <f>IF(A30="","",SUMIF('Product Backlog'!E$5:E$102,'Release Plan'!A30,'Product Backlog'!D$5:D$102))</f>
        <v/>
      </c>
      <c r="F30" s="26" t="str">
        <f t="shared" si="5"/>
        <v>Unplanned</v>
      </c>
      <c r="G30" s="3"/>
      <c r="H30" s="65"/>
      <c r="I30" s="66"/>
    </row>
    <row r="31" ht="12.75" customHeight="1">
      <c r="A31" s="67"/>
      <c r="B31" s="67"/>
      <c r="C31" s="67"/>
      <c r="D31" s="69" t="s">
        <v>58</v>
      </c>
      <c r="E31" s="20">
        <f>SUMIF('Product Backlog'!E$5:E$102,"",'Product Backlog'!D$5:D$102)-SUMIF('Product Backlog'!C$5:C$102,"Removed",'Product Backlog'!D$5:D$102)</f>
        <v>0</v>
      </c>
      <c r="F31" s="67"/>
      <c r="G31" s="70"/>
      <c r="H31" s="67"/>
    </row>
    <row r="32" ht="12.75" customHeight="1">
      <c r="G32" s="3"/>
    </row>
    <row r="33" ht="12.75" customHeight="1">
      <c r="G33" s="3"/>
    </row>
    <row r="34" ht="12.75" customHeight="1">
      <c r="G34" s="3"/>
    </row>
    <row r="35" ht="12.75" customHeight="1">
      <c r="G35" s="3"/>
    </row>
    <row r="36" ht="12.75" customHeight="1">
      <c r="G36" s="3"/>
    </row>
    <row r="37" ht="12.75" customHeight="1">
      <c r="G37" s="3"/>
    </row>
    <row r="38" ht="12.75" customHeight="1">
      <c r="G38" s="3"/>
    </row>
    <row r="39" ht="12.75" customHeight="1">
      <c r="G39" s="3"/>
    </row>
    <row r="40" ht="12.75" customHeight="1">
      <c r="G40" s="3"/>
    </row>
    <row r="41" ht="12.75" customHeight="1">
      <c r="G41" s="3"/>
    </row>
    <row r="42" ht="12.75" customHeight="1">
      <c r="G42" s="3"/>
    </row>
    <row r="43" ht="12.75" customHeight="1">
      <c r="G43" s="3"/>
    </row>
    <row r="44" ht="12.75" customHeight="1">
      <c r="G44" s="3"/>
    </row>
    <row r="45" ht="12.75" customHeight="1">
      <c r="G45" s="3"/>
    </row>
    <row r="46" ht="12.75" customHeight="1">
      <c r="G46" s="3"/>
    </row>
    <row r="47" ht="12.75" customHeight="1">
      <c r="G47" s="3"/>
    </row>
    <row r="48" ht="12.75" customHeight="1">
      <c r="G48" s="3"/>
    </row>
    <row r="49" ht="12.75" customHeight="1">
      <c r="G49" s="3"/>
    </row>
    <row r="50" ht="12.75" customHeight="1">
      <c r="G50" s="3"/>
    </row>
    <row r="51" ht="12.75" customHeight="1">
      <c r="G51" s="3"/>
    </row>
    <row r="52" ht="12.75" customHeight="1">
      <c r="G52" s="3"/>
    </row>
    <row r="53" ht="12.75" customHeight="1">
      <c r="G53" s="3"/>
    </row>
    <row r="54" ht="12.75" customHeight="1">
      <c r="G54" s="3"/>
    </row>
    <row r="55" ht="12.75" customHeight="1">
      <c r="G55" s="3"/>
    </row>
    <row r="56" ht="12.75" customHeight="1">
      <c r="G56" s="3"/>
    </row>
    <row r="57" ht="12.75" customHeight="1">
      <c r="G57" s="3"/>
    </row>
    <row r="58" ht="12.75" customHeight="1">
      <c r="G58" s="3"/>
    </row>
    <row r="59" ht="12.75" customHeight="1">
      <c r="G59" s="3"/>
    </row>
    <row r="60" ht="12.75" customHeight="1">
      <c r="G60" s="3"/>
    </row>
    <row r="61" ht="12.75" customHeight="1">
      <c r="G61" s="3"/>
    </row>
    <row r="62" ht="12.75" customHeight="1">
      <c r="G62" s="3"/>
    </row>
    <row r="63" ht="12.75" customHeight="1">
      <c r="G63" s="3"/>
    </row>
    <row r="64" ht="12.75" customHeight="1">
      <c r="G64" s="3"/>
    </row>
    <row r="65" ht="12.75" customHeight="1">
      <c r="G65" s="3"/>
    </row>
    <row r="66" ht="12.75" customHeight="1">
      <c r="G66" s="3"/>
    </row>
    <row r="67" ht="12.75" customHeight="1">
      <c r="G67" s="3"/>
    </row>
    <row r="68" ht="12.75" customHeight="1">
      <c r="G68" s="3"/>
    </row>
    <row r="69" ht="12.75" customHeight="1">
      <c r="G69" s="3"/>
    </row>
    <row r="70" ht="12.75" customHeight="1">
      <c r="G70" s="3"/>
    </row>
    <row r="71" ht="12.75" customHeight="1">
      <c r="G71" s="3"/>
    </row>
    <row r="72" ht="12.75" customHeight="1">
      <c r="G72" s="3"/>
    </row>
    <row r="73" ht="12.75" customHeight="1">
      <c r="G73" s="3"/>
    </row>
    <row r="74" ht="12.75" customHeight="1">
      <c r="G74" s="3"/>
    </row>
    <row r="75" ht="12.75" customHeight="1">
      <c r="G75" s="3"/>
    </row>
    <row r="76" ht="12.75" customHeight="1">
      <c r="G76" s="3"/>
    </row>
    <row r="77" ht="12.75" customHeight="1">
      <c r="G77" s="3"/>
    </row>
    <row r="78" ht="12.75" customHeight="1">
      <c r="G78" s="3"/>
    </row>
    <row r="79" ht="12.75" customHeight="1">
      <c r="G79" s="3"/>
    </row>
    <row r="80" ht="12.75" customHeight="1">
      <c r="G80" s="3"/>
    </row>
    <row r="81" ht="12.75" customHeight="1">
      <c r="G81" s="3"/>
    </row>
    <row r="82" ht="12.75" customHeight="1">
      <c r="G82" s="3"/>
    </row>
    <row r="83" ht="12.75" customHeight="1">
      <c r="G83" s="3"/>
    </row>
    <row r="84" ht="12.75" customHeight="1">
      <c r="G84" s="3"/>
    </row>
    <row r="85" ht="12.75" customHeight="1">
      <c r="G85" s="3"/>
    </row>
    <row r="86" ht="12.75" customHeight="1">
      <c r="G86" s="3"/>
    </row>
    <row r="87" ht="12.75" customHeight="1">
      <c r="G87" s="3"/>
    </row>
    <row r="88" ht="12.75" customHeight="1">
      <c r="G88" s="3"/>
    </row>
    <row r="89" ht="12.75" customHeight="1">
      <c r="G89" s="3"/>
    </row>
    <row r="90" ht="12.75" customHeight="1">
      <c r="G90" s="3"/>
    </row>
    <row r="91" ht="12.75" customHeight="1">
      <c r="G91" s="3"/>
    </row>
    <row r="92" ht="12.75" customHeight="1">
      <c r="G92" s="3"/>
    </row>
    <row r="93" ht="12.75" customHeight="1">
      <c r="G93" s="3"/>
    </row>
    <row r="94" ht="12.75" customHeight="1">
      <c r="G94" s="3"/>
    </row>
    <row r="95" ht="12.75" customHeight="1">
      <c r="G95" s="3"/>
    </row>
    <row r="96" ht="12.75" customHeight="1">
      <c r="G96" s="3"/>
    </row>
    <row r="97" ht="12.75" customHeight="1">
      <c r="G97" s="3"/>
    </row>
    <row r="98" ht="12.75" customHeight="1">
      <c r="G98" s="3"/>
    </row>
    <row r="99" ht="12.75" customHeight="1">
      <c r="G99" s="3"/>
    </row>
    <row r="100" ht="12.75" customHeight="1">
      <c r="G100" s="3"/>
    </row>
    <row r="101" ht="12.75" customHeight="1">
      <c r="G101" s="3"/>
    </row>
    <row r="102" ht="12.75" customHeight="1">
      <c r="G102" s="3"/>
    </row>
    <row r="103" ht="12.75" customHeight="1">
      <c r="G103" s="3"/>
    </row>
    <row r="104" ht="12.75" customHeight="1">
      <c r="G104" s="3"/>
    </row>
    <row r="105" ht="12.75" customHeight="1">
      <c r="G105" s="3"/>
    </row>
    <row r="106" ht="12.75" customHeight="1">
      <c r="G106" s="3"/>
    </row>
    <row r="107" ht="12.75" customHeight="1">
      <c r="G107" s="3"/>
    </row>
    <row r="108" ht="12.75" customHeight="1">
      <c r="G108" s="3"/>
    </row>
    <row r="109" ht="12.75" customHeight="1">
      <c r="G109" s="3"/>
    </row>
    <row r="110" ht="12.75" customHeight="1">
      <c r="G110" s="3"/>
    </row>
    <row r="111" ht="12.75" customHeight="1">
      <c r="G111" s="3"/>
    </row>
    <row r="112" ht="12.75" customHeight="1">
      <c r="G112" s="3"/>
    </row>
    <row r="113" ht="12.75" customHeight="1">
      <c r="G113" s="3"/>
    </row>
    <row r="114" ht="12.75" customHeight="1">
      <c r="G114" s="3"/>
    </row>
    <row r="115" ht="12.75" customHeight="1">
      <c r="G115" s="3"/>
    </row>
    <row r="116" ht="12.75" customHeight="1">
      <c r="G116" s="3"/>
    </row>
    <row r="117" ht="12.75" customHeight="1">
      <c r="G117" s="3"/>
    </row>
    <row r="118" ht="12.75" customHeight="1">
      <c r="G118" s="3"/>
    </row>
    <row r="119" ht="12.75" customHeight="1">
      <c r="G119" s="3"/>
    </row>
    <row r="120" ht="12.75" customHeight="1">
      <c r="G120" s="3"/>
    </row>
    <row r="121" ht="12.75" customHeight="1">
      <c r="G121" s="3"/>
    </row>
    <row r="122" ht="12.75" customHeight="1">
      <c r="G122" s="3"/>
    </row>
    <row r="123" ht="12.75" customHeight="1">
      <c r="G123" s="3"/>
    </row>
    <row r="124" ht="12.75" customHeight="1">
      <c r="G124" s="3"/>
    </row>
    <row r="125" ht="12.75" customHeight="1">
      <c r="G125" s="3"/>
    </row>
    <row r="126" ht="12.75" customHeight="1">
      <c r="G126" s="3"/>
    </row>
    <row r="127" ht="12.75" customHeight="1">
      <c r="G127" s="3"/>
    </row>
    <row r="128" ht="12.75" customHeight="1">
      <c r="G128" s="3"/>
    </row>
    <row r="129" ht="12.75" customHeight="1">
      <c r="G129" s="3"/>
    </row>
    <row r="130" ht="12.75" customHeight="1">
      <c r="G130" s="3"/>
    </row>
    <row r="131" ht="12.75" customHeight="1">
      <c r="G131" s="3"/>
    </row>
    <row r="132" ht="12.75" customHeight="1">
      <c r="G132" s="3"/>
    </row>
    <row r="133" ht="12.75" customHeight="1">
      <c r="G133" s="3"/>
    </row>
    <row r="134" ht="12.75" customHeight="1">
      <c r="G134" s="3"/>
    </row>
    <row r="135" ht="12.75" customHeight="1">
      <c r="G135" s="3"/>
    </row>
    <row r="136" ht="12.75" customHeight="1">
      <c r="G136" s="3"/>
    </row>
    <row r="137" ht="12.75" customHeight="1">
      <c r="G137" s="3"/>
    </row>
    <row r="138" ht="12.75" customHeight="1">
      <c r="G138" s="3"/>
    </row>
    <row r="139" ht="12.75" customHeight="1">
      <c r="G139" s="3"/>
    </row>
    <row r="140" ht="12.75" customHeight="1">
      <c r="G140" s="3"/>
    </row>
    <row r="141" ht="12.75" customHeight="1">
      <c r="G141" s="3"/>
    </row>
    <row r="142" ht="12.75" customHeight="1">
      <c r="G142" s="3"/>
    </row>
    <row r="143" ht="12.75" customHeight="1">
      <c r="G143" s="3"/>
    </row>
    <row r="144" ht="12.75" customHeight="1">
      <c r="G144" s="3"/>
    </row>
    <row r="145" ht="12.75" customHeight="1">
      <c r="G145" s="3"/>
    </row>
    <row r="146" ht="12.75" customHeight="1">
      <c r="G146" s="3"/>
    </row>
    <row r="147" ht="12.75" customHeight="1">
      <c r="G147" s="3"/>
    </row>
    <row r="148" ht="12.75" customHeight="1">
      <c r="G148" s="3"/>
    </row>
    <row r="149" ht="12.75" customHeight="1">
      <c r="G149" s="3"/>
    </row>
    <row r="150" ht="12.75" customHeight="1">
      <c r="G150" s="3"/>
    </row>
    <row r="151" ht="12.75" customHeight="1">
      <c r="G151" s="3"/>
    </row>
    <row r="152" ht="12.75" customHeight="1">
      <c r="G152" s="3"/>
    </row>
    <row r="153" ht="12.75" customHeight="1">
      <c r="G153" s="3"/>
    </row>
    <row r="154" ht="12.75" customHeight="1">
      <c r="G154" s="3"/>
    </row>
    <row r="155" ht="12.75" customHeight="1">
      <c r="G155" s="3"/>
    </row>
    <row r="156" ht="12.75" customHeight="1">
      <c r="G156" s="3"/>
    </row>
    <row r="157" ht="12.75" customHeight="1">
      <c r="G157" s="3"/>
    </row>
    <row r="158" ht="12.75" customHeight="1">
      <c r="G158" s="3"/>
    </row>
    <row r="159" ht="12.75" customHeight="1">
      <c r="G159" s="3"/>
    </row>
    <row r="160" ht="12.75" customHeight="1">
      <c r="G160" s="3"/>
    </row>
    <row r="161" ht="12.75" customHeight="1">
      <c r="G161" s="3"/>
    </row>
    <row r="162" ht="12.75" customHeight="1">
      <c r="G162" s="3"/>
    </row>
    <row r="163" ht="12.75" customHeight="1">
      <c r="G163" s="3"/>
    </row>
    <row r="164" ht="12.75" customHeight="1">
      <c r="G164" s="3"/>
    </row>
    <row r="165" ht="12.75" customHeight="1">
      <c r="G165" s="3"/>
    </row>
    <row r="166" ht="12.75" customHeight="1">
      <c r="G166" s="3"/>
    </row>
    <row r="167" ht="12.75" customHeight="1">
      <c r="G167" s="3"/>
    </row>
    <row r="168" ht="12.75" customHeight="1">
      <c r="G168" s="3"/>
    </row>
    <row r="169" ht="12.75" customHeight="1">
      <c r="G169" s="3"/>
    </row>
    <row r="170" ht="12.75" customHeight="1">
      <c r="G170" s="3"/>
    </row>
    <row r="171" ht="12.75" customHeight="1">
      <c r="G171" s="3"/>
    </row>
    <row r="172" ht="12.75" customHeight="1">
      <c r="G172" s="3"/>
    </row>
    <row r="173" ht="12.75" customHeight="1">
      <c r="G173" s="3"/>
    </row>
    <row r="174" ht="12.75" customHeight="1">
      <c r="G174" s="3"/>
    </row>
    <row r="175" ht="12.75" customHeight="1">
      <c r="G175" s="3"/>
    </row>
    <row r="176" ht="12.75" customHeight="1">
      <c r="G176" s="3"/>
    </row>
    <row r="177" ht="12.75" customHeight="1">
      <c r="G177" s="3"/>
    </row>
    <row r="178" ht="12.75" customHeight="1">
      <c r="G178" s="3"/>
    </row>
    <row r="179" ht="12.75" customHeight="1">
      <c r="G179" s="3"/>
    </row>
    <row r="180" ht="12.75" customHeight="1">
      <c r="G180" s="3"/>
    </row>
    <row r="181" ht="12.75" customHeight="1">
      <c r="G181" s="3"/>
    </row>
    <row r="182" ht="12.75" customHeight="1">
      <c r="G182" s="3"/>
    </row>
    <row r="183" ht="12.75" customHeight="1">
      <c r="G183" s="3"/>
    </row>
    <row r="184" ht="12.75" customHeight="1">
      <c r="G184" s="3"/>
    </row>
    <row r="185" ht="12.75" customHeight="1">
      <c r="G185" s="3"/>
    </row>
    <row r="186" ht="12.75" customHeight="1">
      <c r="G186" s="3"/>
    </row>
    <row r="187" ht="12.75" customHeight="1">
      <c r="G187" s="3"/>
    </row>
    <row r="188" ht="12.75" customHeight="1">
      <c r="G188" s="3"/>
    </row>
    <row r="189" ht="12.75" customHeight="1">
      <c r="G189" s="3"/>
    </row>
    <row r="190" ht="12.75" customHeight="1">
      <c r="G190" s="3"/>
    </row>
    <row r="191" ht="12.75" customHeight="1">
      <c r="G191" s="3"/>
    </row>
    <row r="192" ht="12.75" customHeight="1">
      <c r="G192" s="3"/>
    </row>
    <row r="193" ht="12.75" customHeight="1">
      <c r="G193" s="3"/>
    </row>
    <row r="194" ht="12.75" customHeight="1">
      <c r="G194" s="3"/>
    </row>
    <row r="195" ht="12.75" customHeight="1">
      <c r="G195" s="3"/>
    </row>
    <row r="196" ht="12.75" customHeight="1">
      <c r="G196" s="3"/>
    </row>
    <row r="197" ht="12.75" customHeight="1">
      <c r="G197" s="3"/>
    </row>
    <row r="198" ht="12.75" customHeight="1">
      <c r="G198" s="3"/>
    </row>
    <row r="199" ht="12.75" customHeight="1">
      <c r="G199" s="3"/>
    </row>
    <row r="200" ht="12.75" customHeight="1">
      <c r="G200" s="3"/>
    </row>
    <row r="201" ht="12.75" customHeight="1">
      <c r="G201" s="3"/>
    </row>
    <row r="202" ht="12.75" customHeight="1">
      <c r="G202" s="3"/>
    </row>
    <row r="203" ht="12.75" customHeight="1">
      <c r="G203" s="3"/>
    </row>
    <row r="204" ht="12.75" customHeight="1">
      <c r="G204" s="3"/>
    </row>
    <row r="205" ht="12.75" customHeight="1">
      <c r="G205" s="3"/>
    </row>
    <row r="206" ht="12.75" customHeight="1">
      <c r="G206" s="3"/>
    </row>
    <row r="207" ht="12.75" customHeight="1">
      <c r="G207" s="3"/>
    </row>
    <row r="208" ht="12.75" customHeight="1">
      <c r="G208" s="3"/>
    </row>
    <row r="209" ht="12.75" customHeight="1">
      <c r="G209" s="3"/>
    </row>
    <row r="210" ht="12.75" customHeight="1">
      <c r="G210" s="3"/>
    </row>
    <row r="211" ht="12.75" customHeight="1">
      <c r="G211" s="3"/>
    </row>
    <row r="212" ht="12.75" customHeight="1">
      <c r="G212" s="3"/>
    </row>
    <row r="213" ht="12.75" customHeight="1">
      <c r="G213" s="3"/>
    </row>
    <row r="214" ht="12.75" customHeight="1">
      <c r="G214" s="3"/>
    </row>
    <row r="215" ht="12.75" customHeight="1">
      <c r="G215" s="3"/>
    </row>
    <row r="216" ht="12.75" customHeight="1">
      <c r="G216" s="3"/>
    </row>
    <row r="217" ht="12.75" customHeight="1">
      <c r="G217" s="3"/>
    </row>
    <row r="218" ht="12.75" customHeight="1">
      <c r="G218" s="3"/>
    </row>
    <row r="219" ht="12.75" customHeight="1">
      <c r="G219" s="3"/>
    </row>
    <row r="220" ht="12.75" customHeight="1">
      <c r="G220" s="3"/>
    </row>
    <row r="221" ht="12.75" customHeight="1">
      <c r="G221" s="3"/>
    </row>
    <row r="222" ht="12.75" customHeight="1">
      <c r="G222" s="3"/>
    </row>
    <row r="223" ht="12.75" customHeight="1">
      <c r="G223" s="3"/>
    </row>
    <row r="224" ht="12.75" customHeight="1">
      <c r="G224" s="3"/>
    </row>
    <row r="225" ht="12.75" customHeight="1">
      <c r="G225" s="3"/>
    </row>
    <row r="226" ht="12.75" customHeight="1">
      <c r="G226" s="3"/>
    </row>
    <row r="227" ht="12.75" customHeight="1">
      <c r="G227" s="3"/>
    </row>
    <row r="228" ht="12.75" customHeight="1">
      <c r="G228" s="3"/>
    </row>
    <row r="229" ht="12.75" customHeight="1">
      <c r="G229" s="3"/>
    </row>
    <row r="230" ht="12.75" customHeight="1">
      <c r="G230" s="3"/>
    </row>
    <row r="231" ht="12.75" customHeight="1">
      <c r="G231" s="3"/>
    </row>
    <row r="232" ht="12.75" customHeight="1">
      <c r="G232" s="3"/>
    </row>
    <row r="233" ht="12.75" customHeight="1">
      <c r="G233" s="3"/>
    </row>
    <row r="234" ht="12.75" customHeight="1">
      <c r="G234" s="3"/>
    </row>
    <row r="235" ht="12.75" customHeight="1">
      <c r="G235" s="3"/>
    </row>
    <row r="236" ht="12.75" customHeight="1">
      <c r="G236" s="3"/>
    </row>
    <row r="237" ht="12.75" customHeight="1">
      <c r="G237" s="3"/>
    </row>
    <row r="238" ht="12.75" customHeight="1">
      <c r="G238" s="3"/>
    </row>
    <row r="239" ht="12.75" customHeight="1">
      <c r="G239" s="3"/>
    </row>
    <row r="240" ht="12.75" customHeight="1">
      <c r="G240" s="3"/>
    </row>
    <row r="241" ht="12.75" customHeight="1">
      <c r="G241" s="3"/>
    </row>
    <row r="242" ht="12.75" customHeight="1">
      <c r="G242" s="3"/>
    </row>
    <row r="243" ht="12.75" customHeight="1">
      <c r="G243" s="3"/>
    </row>
    <row r="244" ht="12.75" customHeight="1">
      <c r="G244" s="3"/>
    </row>
    <row r="245" ht="12.75" customHeight="1">
      <c r="G245" s="3"/>
    </row>
    <row r="246" ht="12.75" customHeight="1">
      <c r="G246" s="3"/>
    </row>
    <row r="247" ht="12.75" customHeight="1">
      <c r="G247" s="3"/>
    </row>
    <row r="248" ht="12.75" customHeight="1">
      <c r="G248" s="3"/>
    </row>
    <row r="249" ht="12.75" customHeight="1">
      <c r="G249" s="3"/>
    </row>
    <row r="250" ht="12.75" customHeight="1">
      <c r="G250" s="3"/>
    </row>
    <row r="251" ht="12.75" customHeight="1">
      <c r="G251" s="3"/>
    </row>
    <row r="252" ht="12.75" customHeight="1">
      <c r="G252" s="3"/>
    </row>
    <row r="253" ht="12.75" customHeight="1">
      <c r="G253" s="3"/>
    </row>
    <row r="254" ht="12.75" customHeight="1">
      <c r="G254" s="3"/>
    </row>
    <row r="255" ht="12.75" customHeight="1">
      <c r="G255" s="3"/>
    </row>
    <row r="256" ht="12.75" customHeight="1">
      <c r="G256" s="3"/>
    </row>
    <row r="257" ht="12.75" customHeight="1">
      <c r="G257" s="3"/>
    </row>
    <row r="258" ht="12.75" customHeight="1">
      <c r="G258" s="3"/>
    </row>
    <row r="259" ht="12.75" customHeight="1">
      <c r="G259" s="3"/>
    </row>
    <row r="260" ht="12.75" customHeight="1">
      <c r="G260" s="3"/>
    </row>
    <row r="261" ht="12.75" customHeight="1">
      <c r="G261" s="3"/>
    </row>
    <row r="262" ht="12.75" customHeight="1">
      <c r="G262" s="3"/>
    </row>
    <row r="263" ht="12.75" customHeight="1">
      <c r="G263" s="3"/>
    </row>
    <row r="264" ht="12.75" customHeight="1">
      <c r="G264" s="3"/>
    </row>
    <row r="265" ht="12.75" customHeight="1">
      <c r="G265" s="3"/>
    </row>
    <row r="266" ht="12.75" customHeight="1">
      <c r="G266" s="3"/>
    </row>
    <row r="267" ht="12.75" customHeight="1">
      <c r="G267" s="3"/>
    </row>
    <row r="268" ht="12.75" customHeight="1">
      <c r="G268" s="3"/>
    </row>
    <row r="269" ht="12.75" customHeight="1">
      <c r="G269" s="3"/>
    </row>
    <row r="270" ht="12.75" customHeight="1">
      <c r="G270" s="3"/>
    </row>
    <row r="271" ht="12.75" customHeight="1">
      <c r="G271" s="3"/>
    </row>
    <row r="272" ht="12.75" customHeight="1">
      <c r="G272" s="3"/>
    </row>
    <row r="273" ht="12.75" customHeight="1">
      <c r="G273" s="3"/>
    </row>
    <row r="274" ht="12.75" customHeight="1">
      <c r="G274" s="3"/>
    </row>
    <row r="275" ht="12.75" customHeight="1">
      <c r="G275" s="3"/>
    </row>
    <row r="276" ht="12.75" customHeight="1">
      <c r="G276" s="3"/>
    </row>
    <row r="277" ht="12.75" customHeight="1">
      <c r="G277" s="3"/>
    </row>
    <row r="278" ht="12.75" customHeight="1">
      <c r="G278" s="3"/>
    </row>
    <row r="279" ht="12.75" customHeight="1">
      <c r="G279" s="3"/>
    </row>
    <row r="280" ht="12.75" customHeight="1">
      <c r="G280" s="3"/>
    </row>
    <row r="281" ht="12.75" customHeight="1">
      <c r="G281" s="3"/>
    </row>
    <row r="282" ht="12.75" customHeight="1">
      <c r="G282" s="3"/>
    </row>
    <row r="283" ht="12.75" customHeight="1">
      <c r="G283" s="3"/>
    </row>
    <row r="284" ht="12.75" customHeight="1">
      <c r="G284" s="3"/>
    </row>
    <row r="285" ht="12.75" customHeight="1">
      <c r="G285" s="3"/>
    </row>
    <row r="286" ht="12.75" customHeight="1">
      <c r="G286" s="3"/>
    </row>
    <row r="287" ht="12.75" customHeight="1">
      <c r="G287" s="3"/>
    </row>
    <row r="288" ht="12.75" customHeight="1">
      <c r="G288" s="3"/>
    </row>
    <row r="289" ht="12.75" customHeight="1">
      <c r="G289" s="3"/>
    </row>
    <row r="290" ht="12.75" customHeight="1">
      <c r="G290" s="3"/>
    </row>
    <row r="291" ht="12.75" customHeight="1">
      <c r="G291" s="3"/>
    </row>
    <row r="292" ht="12.75" customHeight="1">
      <c r="G292" s="3"/>
    </row>
    <row r="293" ht="12.75" customHeight="1">
      <c r="G293" s="3"/>
    </row>
    <row r="294" ht="12.75" customHeight="1">
      <c r="G294" s="3"/>
    </row>
    <row r="295" ht="12.75" customHeight="1">
      <c r="G295" s="3"/>
    </row>
    <row r="296" ht="12.75" customHeight="1">
      <c r="G296" s="3"/>
    </row>
    <row r="297" ht="12.75" customHeight="1">
      <c r="G297" s="3"/>
    </row>
    <row r="298" ht="12.75" customHeight="1">
      <c r="G298" s="3"/>
    </row>
    <row r="299" ht="12.75" customHeight="1">
      <c r="G299" s="3"/>
    </row>
    <row r="300" ht="12.75" customHeight="1">
      <c r="G300" s="3"/>
    </row>
    <row r="301" ht="12.75" customHeight="1">
      <c r="G301" s="3"/>
    </row>
    <row r="302" ht="12.75" customHeight="1">
      <c r="G302" s="3"/>
    </row>
    <row r="303" ht="12.75" customHeight="1">
      <c r="G303" s="3"/>
    </row>
    <row r="304" ht="12.75" customHeight="1">
      <c r="G304" s="3"/>
    </row>
    <row r="305" ht="12.75" customHeight="1">
      <c r="G305" s="3"/>
    </row>
    <row r="306" ht="12.75" customHeight="1">
      <c r="G306" s="3"/>
    </row>
    <row r="307" ht="12.75" customHeight="1">
      <c r="G307" s="3"/>
    </row>
    <row r="308" ht="12.75" customHeight="1">
      <c r="G308" s="3"/>
    </row>
    <row r="309" ht="12.75" customHeight="1">
      <c r="G309" s="3"/>
    </row>
    <row r="310" ht="12.75" customHeight="1">
      <c r="G310" s="3"/>
    </row>
    <row r="311" ht="12.75" customHeight="1">
      <c r="G311" s="3"/>
    </row>
    <row r="312" ht="12.75" customHeight="1">
      <c r="G312" s="3"/>
    </row>
    <row r="313" ht="12.75" customHeight="1">
      <c r="G313" s="3"/>
    </row>
    <row r="314" ht="12.75" customHeight="1">
      <c r="G314" s="3"/>
    </row>
    <row r="315" ht="12.75" customHeight="1">
      <c r="G315" s="3"/>
    </row>
    <row r="316" ht="12.75" customHeight="1">
      <c r="G316" s="3"/>
    </row>
    <row r="317" ht="12.75" customHeight="1">
      <c r="G317" s="3"/>
    </row>
    <row r="318" ht="12.75" customHeight="1">
      <c r="G318" s="3"/>
    </row>
    <row r="319" ht="12.75" customHeight="1">
      <c r="G319" s="3"/>
    </row>
    <row r="320" ht="12.75" customHeight="1">
      <c r="G320" s="3"/>
    </row>
    <row r="321" ht="12.75" customHeight="1">
      <c r="G321" s="3"/>
    </row>
    <row r="322" ht="12.75" customHeight="1">
      <c r="G322" s="3"/>
    </row>
    <row r="323" ht="12.75" customHeight="1">
      <c r="G323" s="3"/>
    </row>
    <row r="324" ht="12.75" customHeight="1">
      <c r="G324" s="3"/>
    </row>
    <row r="325" ht="12.75" customHeight="1">
      <c r="G325" s="3"/>
    </row>
    <row r="326" ht="12.75" customHeight="1">
      <c r="G326" s="3"/>
    </row>
    <row r="327" ht="12.75" customHeight="1">
      <c r="G327" s="3"/>
    </row>
    <row r="328" ht="12.75" customHeight="1">
      <c r="G328" s="3"/>
    </row>
    <row r="329" ht="12.75" customHeight="1">
      <c r="G329" s="3"/>
    </row>
    <row r="330" ht="12.75" customHeight="1">
      <c r="G330" s="3"/>
    </row>
    <row r="331" ht="12.75" customHeight="1">
      <c r="G331" s="3"/>
    </row>
    <row r="332" ht="12.75" customHeight="1">
      <c r="G332" s="3"/>
    </row>
    <row r="333" ht="12.75" customHeight="1">
      <c r="G333" s="3"/>
    </row>
    <row r="334" ht="12.75" customHeight="1">
      <c r="G334" s="3"/>
    </row>
    <row r="335" ht="12.75" customHeight="1">
      <c r="G335" s="3"/>
    </row>
    <row r="336" ht="12.75" customHeight="1">
      <c r="G336" s="3"/>
    </row>
    <row r="337" ht="12.75" customHeight="1">
      <c r="G337" s="3"/>
    </row>
    <row r="338" ht="12.75" customHeight="1">
      <c r="G338" s="3"/>
    </row>
    <row r="339" ht="12.75" customHeight="1">
      <c r="G339" s="3"/>
    </row>
    <row r="340" ht="12.75" customHeight="1">
      <c r="G340" s="3"/>
    </row>
    <row r="341" ht="12.75" customHeight="1">
      <c r="G341" s="3"/>
    </row>
    <row r="342" ht="12.75" customHeight="1">
      <c r="G342" s="3"/>
    </row>
    <row r="343" ht="12.75" customHeight="1">
      <c r="G343" s="3"/>
    </row>
    <row r="344" ht="12.75" customHeight="1">
      <c r="G344" s="3"/>
    </row>
    <row r="345" ht="12.75" customHeight="1">
      <c r="G345" s="3"/>
    </row>
    <row r="346" ht="12.75" customHeight="1">
      <c r="G346" s="3"/>
    </row>
    <row r="347" ht="12.75" customHeight="1">
      <c r="G347" s="3"/>
    </row>
    <row r="348" ht="12.75" customHeight="1">
      <c r="G348" s="3"/>
    </row>
    <row r="349" ht="12.75" customHeight="1">
      <c r="G349" s="3"/>
    </row>
    <row r="350" ht="12.75" customHeight="1">
      <c r="G350" s="3"/>
    </row>
    <row r="351" ht="12.75" customHeight="1">
      <c r="G351" s="3"/>
    </row>
    <row r="352" ht="12.75" customHeight="1">
      <c r="G352" s="3"/>
    </row>
    <row r="353" ht="12.75" customHeight="1">
      <c r="G353" s="3"/>
    </row>
    <row r="354" ht="12.75" customHeight="1">
      <c r="G354" s="3"/>
    </row>
    <row r="355" ht="12.75" customHeight="1">
      <c r="G355" s="3"/>
    </row>
    <row r="356" ht="12.75" customHeight="1">
      <c r="G356" s="3"/>
    </row>
    <row r="357" ht="12.75" customHeight="1">
      <c r="G357" s="3"/>
    </row>
    <row r="358" ht="12.75" customHeight="1">
      <c r="G358" s="3"/>
    </row>
    <row r="359" ht="12.75" customHeight="1">
      <c r="G359" s="3"/>
    </row>
    <row r="360" ht="12.75" customHeight="1">
      <c r="G360" s="3"/>
    </row>
    <row r="361" ht="12.75" customHeight="1">
      <c r="G361" s="3"/>
    </row>
    <row r="362" ht="12.75" customHeight="1">
      <c r="G362" s="3"/>
    </row>
    <row r="363" ht="12.75" customHeight="1">
      <c r="G363" s="3"/>
    </row>
    <row r="364" ht="12.75" customHeight="1">
      <c r="G364" s="3"/>
    </row>
    <row r="365" ht="12.75" customHeight="1">
      <c r="G365" s="3"/>
    </row>
    <row r="366" ht="12.75" customHeight="1">
      <c r="G366" s="3"/>
    </row>
    <row r="367" ht="12.75" customHeight="1">
      <c r="G367" s="3"/>
    </row>
    <row r="368" ht="12.75" customHeight="1">
      <c r="G368" s="3"/>
    </row>
    <row r="369" ht="12.75" customHeight="1">
      <c r="G369" s="3"/>
    </row>
    <row r="370" ht="12.75" customHeight="1">
      <c r="G370" s="3"/>
    </row>
    <row r="371" ht="12.75" customHeight="1">
      <c r="G371" s="3"/>
    </row>
    <row r="372" ht="12.75" customHeight="1">
      <c r="G372" s="3"/>
    </row>
    <row r="373" ht="12.75" customHeight="1">
      <c r="G373" s="3"/>
    </row>
    <row r="374" ht="12.75" customHeight="1">
      <c r="G374" s="3"/>
    </row>
    <row r="375" ht="12.75" customHeight="1">
      <c r="G375" s="3"/>
    </row>
    <row r="376" ht="12.75" customHeight="1">
      <c r="G376" s="3"/>
    </row>
    <row r="377" ht="12.75" customHeight="1">
      <c r="G377" s="3"/>
    </row>
    <row r="378" ht="12.75" customHeight="1">
      <c r="G378" s="3"/>
    </row>
    <row r="379" ht="12.75" customHeight="1">
      <c r="G379" s="3"/>
    </row>
    <row r="380" ht="12.75" customHeight="1">
      <c r="G380" s="3"/>
    </row>
    <row r="381" ht="12.75" customHeight="1">
      <c r="G381" s="3"/>
    </row>
    <row r="382" ht="12.75" customHeight="1">
      <c r="G382" s="3"/>
    </row>
    <row r="383" ht="12.75" customHeight="1">
      <c r="G383" s="3"/>
    </row>
    <row r="384" ht="12.75" customHeight="1">
      <c r="G384" s="3"/>
    </row>
    <row r="385" ht="12.75" customHeight="1">
      <c r="G385" s="3"/>
    </row>
    <row r="386" ht="12.75" customHeight="1">
      <c r="G386" s="3"/>
    </row>
    <row r="387" ht="12.75" customHeight="1">
      <c r="G387" s="3"/>
    </row>
    <row r="388" ht="12.75" customHeight="1">
      <c r="G388" s="3"/>
    </row>
    <row r="389" ht="12.75" customHeight="1">
      <c r="G389" s="3"/>
    </row>
    <row r="390" ht="12.75" customHeight="1">
      <c r="G390" s="3"/>
    </row>
    <row r="391" ht="12.75" customHeight="1">
      <c r="G391" s="3"/>
    </row>
    <row r="392" ht="12.75" customHeight="1">
      <c r="G392" s="3"/>
    </row>
    <row r="393" ht="12.75" customHeight="1">
      <c r="G393" s="3"/>
    </row>
    <row r="394" ht="12.75" customHeight="1">
      <c r="G394" s="3"/>
    </row>
    <row r="395" ht="12.75" customHeight="1">
      <c r="G395" s="3"/>
    </row>
    <row r="396" ht="12.75" customHeight="1">
      <c r="G396" s="3"/>
    </row>
    <row r="397" ht="12.75" customHeight="1">
      <c r="G397" s="3"/>
    </row>
    <row r="398" ht="12.75" customHeight="1">
      <c r="G398" s="3"/>
    </row>
    <row r="399" ht="12.75" customHeight="1">
      <c r="G399" s="3"/>
    </row>
    <row r="400" ht="12.75" customHeight="1">
      <c r="G400" s="3"/>
    </row>
    <row r="401" ht="12.75" customHeight="1">
      <c r="G401" s="3"/>
    </row>
    <row r="402" ht="12.75" customHeight="1">
      <c r="G402" s="3"/>
    </row>
    <row r="403" ht="12.75" customHeight="1">
      <c r="G403" s="3"/>
    </row>
    <row r="404" ht="12.75" customHeight="1">
      <c r="G404" s="3"/>
    </row>
    <row r="405" ht="12.75" customHeight="1">
      <c r="G405" s="3"/>
    </row>
    <row r="406" ht="12.75" customHeight="1">
      <c r="G406" s="3"/>
    </row>
    <row r="407" ht="12.75" customHeight="1">
      <c r="G407" s="3"/>
    </row>
    <row r="408" ht="12.75" customHeight="1">
      <c r="G408" s="3"/>
    </row>
    <row r="409" ht="12.75" customHeight="1">
      <c r="G409" s="3"/>
    </row>
    <row r="410" ht="12.75" customHeight="1">
      <c r="G410" s="3"/>
    </row>
    <row r="411" ht="12.75" customHeight="1">
      <c r="G411" s="3"/>
    </row>
    <row r="412" ht="12.75" customHeight="1">
      <c r="G412" s="3"/>
    </row>
    <row r="413" ht="12.75" customHeight="1">
      <c r="G413" s="3"/>
    </row>
    <row r="414" ht="12.75" customHeight="1">
      <c r="G414" s="3"/>
    </row>
    <row r="415" ht="12.75" customHeight="1">
      <c r="G415" s="3"/>
    </row>
    <row r="416" ht="12.75" customHeight="1">
      <c r="G416" s="3"/>
    </row>
    <row r="417" ht="12.75" customHeight="1">
      <c r="G417" s="3"/>
    </row>
    <row r="418" ht="12.75" customHeight="1">
      <c r="G418" s="3"/>
    </row>
    <row r="419" ht="12.75" customHeight="1">
      <c r="G419" s="3"/>
    </row>
    <row r="420" ht="12.75" customHeight="1">
      <c r="G420" s="3"/>
    </row>
    <row r="421" ht="12.75" customHeight="1">
      <c r="G421" s="3"/>
    </row>
    <row r="422" ht="12.75" customHeight="1">
      <c r="G422" s="3"/>
    </row>
    <row r="423" ht="12.75" customHeight="1">
      <c r="G423" s="3"/>
    </row>
    <row r="424" ht="12.75" customHeight="1">
      <c r="G424" s="3"/>
    </row>
    <row r="425" ht="12.75" customHeight="1">
      <c r="G425" s="3"/>
    </row>
    <row r="426" ht="12.75" customHeight="1">
      <c r="G426" s="3"/>
    </row>
    <row r="427" ht="12.75" customHeight="1">
      <c r="G427" s="3"/>
    </row>
    <row r="428" ht="12.75" customHeight="1">
      <c r="G428" s="3"/>
    </row>
    <row r="429" ht="12.75" customHeight="1">
      <c r="G429" s="3"/>
    </row>
    <row r="430" ht="12.75" customHeight="1">
      <c r="G430" s="3"/>
    </row>
    <row r="431" ht="12.75" customHeight="1">
      <c r="G431" s="3"/>
    </row>
    <row r="432" ht="12.75" customHeight="1">
      <c r="G432" s="3"/>
    </row>
    <row r="433" ht="12.75" customHeight="1">
      <c r="G433" s="3"/>
    </row>
    <row r="434" ht="12.75" customHeight="1">
      <c r="G434" s="3"/>
    </row>
    <row r="435" ht="12.75" customHeight="1">
      <c r="G435" s="3"/>
    </row>
    <row r="436" ht="12.75" customHeight="1">
      <c r="G436" s="3"/>
    </row>
    <row r="437" ht="12.75" customHeight="1">
      <c r="G437" s="3"/>
    </row>
    <row r="438" ht="12.75" customHeight="1">
      <c r="G438" s="3"/>
    </row>
    <row r="439" ht="12.75" customHeight="1">
      <c r="G439" s="3"/>
    </row>
    <row r="440" ht="12.75" customHeight="1">
      <c r="G440" s="3"/>
    </row>
    <row r="441" ht="12.75" customHeight="1">
      <c r="G441" s="3"/>
    </row>
    <row r="442" ht="12.75" customHeight="1">
      <c r="G442" s="3"/>
    </row>
    <row r="443" ht="12.75" customHeight="1">
      <c r="G443" s="3"/>
    </row>
    <row r="444" ht="12.75" customHeight="1">
      <c r="G444" s="3"/>
    </row>
    <row r="445" ht="12.75" customHeight="1">
      <c r="G445" s="3"/>
    </row>
    <row r="446" ht="12.75" customHeight="1">
      <c r="G446" s="3"/>
    </row>
    <row r="447" ht="12.75" customHeight="1">
      <c r="G447" s="3"/>
    </row>
    <row r="448" ht="12.75" customHeight="1">
      <c r="G448" s="3"/>
    </row>
    <row r="449" ht="12.75" customHeight="1">
      <c r="G449" s="3"/>
    </row>
    <row r="450" ht="12.75" customHeight="1">
      <c r="G450" s="3"/>
    </row>
    <row r="451" ht="12.75" customHeight="1">
      <c r="G451" s="3"/>
    </row>
    <row r="452" ht="12.75" customHeight="1">
      <c r="G452" s="3"/>
    </row>
    <row r="453" ht="12.75" customHeight="1">
      <c r="G453" s="3"/>
    </row>
    <row r="454" ht="12.75" customHeight="1">
      <c r="G454" s="3"/>
    </row>
    <row r="455" ht="12.75" customHeight="1">
      <c r="G455" s="3"/>
    </row>
    <row r="456" ht="12.75" customHeight="1">
      <c r="G456" s="3"/>
    </row>
    <row r="457" ht="12.75" customHeight="1">
      <c r="G457" s="3"/>
    </row>
    <row r="458" ht="12.75" customHeight="1">
      <c r="G458" s="3"/>
    </row>
    <row r="459" ht="12.75" customHeight="1">
      <c r="G459" s="3"/>
    </row>
    <row r="460" ht="12.75" customHeight="1">
      <c r="G460" s="3"/>
    </row>
    <row r="461" ht="12.75" customHeight="1">
      <c r="G461" s="3"/>
    </row>
    <row r="462" ht="12.75" customHeight="1">
      <c r="G462" s="3"/>
    </row>
    <row r="463" ht="12.75" customHeight="1">
      <c r="G463" s="3"/>
    </row>
    <row r="464" ht="12.75" customHeight="1">
      <c r="G464" s="3"/>
    </row>
    <row r="465" ht="12.75" customHeight="1">
      <c r="G465" s="3"/>
    </row>
    <row r="466" ht="12.75" customHeight="1">
      <c r="G466" s="3"/>
    </row>
    <row r="467" ht="12.75" customHeight="1">
      <c r="G467" s="3"/>
    </row>
    <row r="468" ht="12.75" customHeight="1">
      <c r="G468" s="3"/>
    </row>
    <row r="469" ht="12.75" customHeight="1">
      <c r="G469" s="3"/>
    </row>
    <row r="470" ht="12.75" customHeight="1">
      <c r="G470" s="3"/>
    </row>
    <row r="471" ht="12.75" customHeight="1">
      <c r="G471" s="3"/>
    </row>
    <row r="472" ht="12.75" customHeight="1">
      <c r="G472" s="3"/>
    </row>
    <row r="473" ht="12.75" customHeight="1">
      <c r="G473" s="3"/>
    </row>
    <row r="474" ht="12.75" customHeight="1">
      <c r="G474" s="3"/>
    </row>
    <row r="475" ht="12.75" customHeight="1">
      <c r="G475" s="3"/>
    </row>
    <row r="476" ht="12.75" customHeight="1">
      <c r="G476" s="3"/>
    </row>
    <row r="477" ht="12.75" customHeight="1">
      <c r="G477" s="3"/>
    </row>
    <row r="478" ht="12.75" customHeight="1">
      <c r="G478" s="3"/>
    </row>
    <row r="479" ht="12.75" customHeight="1">
      <c r="G479" s="3"/>
    </row>
    <row r="480" ht="12.75" customHeight="1">
      <c r="G480" s="3"/>
    </row>
    <row r="481" ht="12.75" customHeight="1">
      <c r="G481" s="3"/>
    </row>
    <row r="482" ht="12.75" customHeight="1">
      <c r="G482" s="3"/>
    </row>
    <row r="483" ht="12.75" customHeight="1">
      <c r="G483" s="3"/>
    </row>
    <row r="484" ht="12.75" customHeight="1">
      <c r="G484" s="3"/>
    </row>
    <row r="485" ht="12.75" customHeight="1">
      <c r="G485" s="3"/>
    </row>
    <row r="486" ht="12.75" customHeight="1">
      <c r="G486" s="3"/>
    </row>
    <row r="487" ht="12.75" customHeight="1">
      <c r="G487" s="3"/>
    </row>
    <row r="488" ht="12.75" customHeight="1">
      <c r="G488" s="3"/>
    </row>
    <row r="489" ht="12.75" customHeight="1">
      <c r="G489" s="3"/>
    </row>
    <row r="490" ht="12.75" customHeight="1">
      <c r="G490" s="3"/>
    </row>
    <row r="491" ht="12.75" customHeight="1">
      <c r="G491" s="3"/>
    </row>
    <row r="492" ht="12.75" customHeight="1">
      <c r="G492" s="3"/>
    </row>
    <row r="493" ht="12.75" customHeight="1">
      <c r="G493" s="3"/>
    </row>
    <row r="494" ht="12.75" customHeight="1">
      <c r="G494" s="3"/>
    </row>
    <row r="495" ht="12.75" customHeight="1">
      <c r="G495" s="3"/>
    </row>
    <row r="496" ht="12.75" customHeight="1">
      <c r="G496" s="3"/>
    </row>
    <row r="497" ht="12.75" customHeight="1">
      <c r="G497" s="3"/>
    </row>
    <row r="498" ht="12.75" customHeight="1">
      <c r="G498" s="3"/>
    </row>
    <row r="499" ht="12.75" customHeight="1">
      <c r="G499" s="3"/>
    </row>
    <row r="500" ht="12.75" customHeight="1">
      <c r="G500" s="3"/>
    </row>
    <row r="501" ht="12.75" customHeight="1">
      <c r="G501" s="3"/>
    </row>
    <row r="502" ht="12.75" customHeight="1">
      <c r="G502" s="3"/>
    </row>
    <row r="503" ht="12.75" customHeight="1">
      <c r="G503" s="3"/>
    </row>
    <row r="504" ht="12.75" customHeight="1">
      <c r="G504" s="3"/>
    </row>
    <row r="505" ht="12.75" customHeight="1">
      <c r="G505" s="3"/>
    </row>
    <row r="506" ht="12.75" customHeight="1">
      <c r="G506" s="3"/>
    </row>
    <row r="507" ht="12.75" customHeight="1">
      <c r="G507" s="3"/>
    </row>
    <row r="508" ht="12.75" customHeight="1">
      <c r="G508" s="3"/>
    </row>
    <row r="509" ht="12.75" customHeight="1">
      <c r="G509" s="3"/>
    </row>
    <row r="510" ht="12.75" customHeight="1">
      <c r="G510" s="3"/>
    </row>
    <row r="511" ht="12.75" customHeight="1">
      <c r="G511" s="3"/>
    </row>
    <row r="512" ht="12.75" customHeight="1">
      <c r="G512" s="3"/>
    </row>
    <row r="513" ht="12.75" customHeight="1">
      <c r="G513" s="3"/>
    </row>
    <row r="514" ht="12.75" customHeight="1">
      <c r="G514" s="3"/>
    </row>
    <row r="515" ht="12.75" customHeight="1">
      <c r="G515" s="3"/>
    </row>
    <row r="516" ht="12.75" customHeight="1">
      <c r="G516" s="3"/>
    </row>
    <row r="517" ht="12.75" customHeight="1">
      <c r="G517" s="3"/>
    </row>
    <row r="518" ht="12.75" customHeight="1">
      <c r="G518" s="3"/>
    </row>
    <row r="519" ht="12.75" customHeight="1">
      <c r="G519" s="3"/>
    </row>
    <row r="520" ht="12.75" customHeight="1">
      <c r="G520" s="3"/>
    </row>
    <row r="521" ht="12.75" customHeight="1">
      <c r="G521" s="3"/>
    </row>
    <row r="522" ht="12.75" customHeight="1">
      <c r="G522" s="3"/>
    </row>
    <row r="523" ht="12.75" customHeight="1">
      <c r="G523" s="3"/>
    </row>
    <row r="524" ht="12.75" customHeight="1">
      <c r="G524" s="3"/>
    </row>
    <row r="525" ht="12.75" customHeight="1">
      <c r="G525" s="3"/>
    </row>
    <row r="526" ht="12.75" customHeight="1">
      <c r="G526" s="3"/>
    </row>
    <row r="527" ht="12.75" customHeight="1">
      <c r="G527" s="3"/>
    </row>
    <row r="528" ht="12.75" customHeight="1">
      <c r="G528" s="3"/>
    </row>
    <row r="529" ht="12.75" customHeight="1">
      <c r="G529" s="3"/>
    </row>
    <row r="530" ht="12.75" customHeight="1">
      <c r="G530" s="3"/>
    </row>
    <row r="531" ht="12.75" customHeight="1">
      <c r="G531" s="3"/>
    </row>
    <row r="532" ht="12.75" customHeight="1">
      <c r="G532" s="3"/>
    </row>
    <row r="533" ht="12.75" customHeight="1">
      <c r="G533" s="3"/>
    </row>
    <row r="534" ht="12.75" customHeight="1">
      <c r="G534" s="3"/>
    </row>
    <row r="535" ht="12.75" customHeight="1">
      <c r="G535" s="3"/>
    </row>
    <row r="536" ht="12.75" customHeight="1">
      <c r="G536" s="3"/>
    </row>
    <row r="537" ht="12.75" customHeight="1">
      <c r="G537" s="3"/>
    </row>
    <row r="538" ht="12.75" customHeight="1">
      <c r="G538" s="3"/>
    </row>
    <row r="539" ht="12.75" customHeight="1">
      <c r="G539" s="3"/>
    </row>
    <row r="540" ht="12.75" customHeight="1">
      <c r="G540" s="3"/>
    </row>
    <row r="541" ht="12.75" customHeight="1">
      <c r="G541" s="3"/>
    </row>
    <row r="542" ht="12.75" customHeight="1">
      <c r="G542" s="3"/>
    </row>
    <row r="543" ht="12.75" customHeight="1">
      <c r="G543" s="3"/>
    </row>
    <row r="544" ht="12.75" customHeight="1">
      <c r="G544" s="3"/>
    </row>
    <row r="545" ht="12.75" customHeight="1">
      <c r="G545" s="3"/>
    </row>
    <row r="546" ht="12.75" customHeight="1">
      <c r="G546" s="3"/>
    </row>
    <row r="547" ht="12.75" customHeight="1">
      <c r="G547" s="3"/>
    </row>
    <row r="548" ht="12.75" customHeight="1">
      <c r="G548" s="3"/>
    </row>
    <row r="549" ht="12.75" customHeight="1">
      <c r="G549" s="3"/>
    </row>
    <row r="550" ht="12.75" customHeight="1">
      <c r="G550" s="3"/>
    </row>
    <row r="551" ht="12.75" customHeight="1">
      <c r="G551" s="3"/>
    </row>
    <row r="552" ht="12.75" customHeight="1">
      <c r="G552" s="3"/>
    </row>
    <row r="553" ht="12.75" customHeight="1">
      <c r="G553" s="3"/>
    </row>
    <row r="554" ht="12.75" customHeight="1">
      <c r="G554" s="3"/>
    </row>
    <row r="555" ht="12.75" customHeight="1">
      <c r="G555" s="3"/>
    </row>
    <row r="556" ht="12.75" customHeight="1">
      <c r="G556" s="3"/>
    </row>
    <row r="557" ht="12.75" customHeight="1">
      <c r="G557" s="3"/>
    </row>
    <row r="558" ht="12.75" customHeight="1">
      <c r="G558" s="3"/>
    </row>
    <row r="559" ht="12.75" customHeight="1">
      <c r="G559" s="3"/>
    </row>
    <row r="560" ht="12.75" customHeight="1">
      <c r="G560" s="3"/>
    </row>
    <row r="561" ht="12.75" customHeight="1">
      <c r="G561" s="3"/>
    </row>
    <row r="562" ht="12.75" customHeight="1">
      <c r="G562" s="3"/>
    </row>
    <row r="563" ht="12.75" customHeight="1">
      <c r="G563" s="3"/>
    </row>
    <row r="564" ht="12.75" customHeight="1">
      <c r="G564" s="3"/>
    </row>
    <row r="565" ht="12.75" customHeight="1">
      <c r="G565" s="3"/>
    </row>
    <row r="566" ht="12.75" customHeight="1">
      <c r="G566" s="3"/>
    </row>
    <row r="567" ht="12.75" customHeight="1">
      <c r="G567" s="3"/>
    </row>
    <row r="568" ht="12.75" customHeight="1">
      <c r="G568" s="3"/>
    </row>
    <row r="569" ht="12.75" customHeight="1">
      <c r="G569" s="3"/>
    </row>
    <row r="570" ht="12.75" customHeight="1">
      <c r="G570" s="3"/>
    </row>
    <row r="571" ht="12.75" customHeight="1">
      <c r="G571" s="3"/>
    </row>
    <row r="572" ht="12.75" customHeight="1">
      <c r="G572" s="3"/>
    </row>
    <row r="573" ht="12.75" customHeight="1">
      <c r="G573" s="3"/>
    </row>
    <row r="574" ht="12.75" customHeight="1">
      <c r="G574" s="3"/>
    </row>
    <row r="575" ht="12.75" customHeight="1">
      <c r="G575" s="3"/>
    </row>
    <row r="576" ht="12.75" customHeight="1">
      <c r="G576" s="3"/>
    </row>
    <row r="577" ht="12.75" customHeight="1">
      <c r="G577" s="3"/>
    </row>
    <row r="578" ht="12.75" customHeight="1">
      <c r="G578" s="3"/>
    </row>
    <row r="579" ht="12.75" customHeight="1">
      <c r="G579" s="3"/>
    </row>
    <row r="580" ht="12.75" customHeight="1">
      <c r="G580" s="3"/>
    </row>
    <row r="581" ht="12.75" customHeight="1">
      <c r="G581" s="3"/>
    </row>
    <row r="582" ht="12.75" customHeight="1">
      <c r="G582" s="3"/>
    </row>
    <row r="583" ht="12.75" customHeight="1">
      <c r="G583" s="3"/>
    </row>
    <row r="584" ht="12.75" customHeight="1">
      <c r="G584" s="3"/>
    </row>
    <row r="585" ht="12.75" customHeight="1">
      <c r="G585" s="3"/>
    </row>
    <row r="586" ht="12.75" customHeight="1">
      <c r="G586" s="3"/>
    </row>
    <row r="587" ht="12.75" customHeight="1">
      <c r="G587" s="3"/>
    </row>
    <row r="588" ht="12.75" customHeight="1">
      <c r="G588" s="3"/>
    </row>
    <row r="589" ht="12.75" customHeight="1">
      <c r="G589" s="3"/>
    </row>
    <row r="590" ht="12.75" customHeight="1">
      <c r="G590" s="3"/>
    </row>
    <row r="591" ht="12.75" customHeight="1">
      <c r="G591" s="3"/>
    </row>
    <row r="592" ht="12.75" customHeight="1">
      <c r="G592" s="3"/>
    </row>
    <row r="593" ht="12.75" customHeight="1">
      <c r="G593" s="3"/>
    </row>
    <row r="594" ht="12.75" customHeight="1">
      <c r="G594" s="3"/>
    </row>
    <row r="595" ht="12.75" customHeight="1">
      <c r="G595" s="3"/>
    </row>
    <row r="596" ht="12.75" customHeight="1">
      <c r="G596" s="3"/>
    </row>
    <row r="597" ht="12.75" customHeight="1">
      <c r="G597" s="3"/>
    </row>
    <row r="598" ht="12.75" customHeight="1">
      <c r="G598" s="3"/>
    </row>
    <row r="599" ht="12.75" customHeight="1">
      <c r="G599" s="3"/>
    </row>
    <row r="600" ht="12.75" customHeight="1">
      <c r="G600" s="3"/>
    </row>
    <row r="601" ht="12.75" customHeight="1">
      <c r="G601" s="3"/>
    </row>
    <row r="602" ht="12.75" customHeight="1">
      <c r="G602" s="3"/>
    </row>
    <row r="603" ht="12.75" customHeight="1">
      <c r="G603" s="3"/>
    </row>
    <row r="604" ht="12.75" customHeight="1">
      <c r="G604" s="3"/>
    </row>
    <row r="605" ht="12.75" customHeight="1">
      <c r="G605" s="3"/>
    </row>
    <row r="606" ht="12.75" customHeight="1">
      <c r="G606" s="3"/>
    </row>
    <row r="607" ht="12.75" customHeight="1">
      <c r="G607" s="3"/>
    </row>
    <row r="608" ht="12.75" customHeight="1">
      <c r="G608" s="3"/>
    </row>
    <row r="609" ht="12.75" customHeight="1">
      <c r="G609" s="3"/>
    </row>
    <row r="610" ht="12.75" customHeight="1">
      <c r="G610" s="3"/>
    </row>
    <row r="611" ht="12.75" customHeight="1">
      <c r="G611" s="3"/>
    </row>
    <row r="612" ht="12.75" customHeight="1">
      <c r="G612" s="3"/>
    </row>
    <row r="613" ht="12.75" customHeight="1">
      <c r="G613" s="3"/>
    </row>
    <row r="614" ht="12.75" customHeight="1">
      <c r="G614" s="3"/>
    </row>
    <row r="615" ht="12.75" customHeight="1">
      <c r="G615" s="3"/>
    </row>
    <row r="616" ht="12.75" customHeight="1">
      <c r="G616" s="3"/>
    </row>
    <row r="617" ht="12.75" customHeight="1">
      <c r="G617" s="3"/>
    </row>
    <row r="618" ht="12.75" customHeight="1">
      <c r="G618" s="3"/>
    </row>
    <row r="619" ht="12.75" customHeight="1">
      <c r="G619" s="3"/>
    </row>
    <row r="620" ht="12.75" customHeight="1">
      <c r="G620" s="3"/>
    </row>
    <row r="621" ht="12.75" customHeight="1">
      <c r="G621" s="3"/>
    </row>
    <row r="622" ht="12.75" customHeight="1">
      <c r="G622" s="3"/>
    </row>
    <row r="623" ht="12.75" customHeight="1">
      <c r="G623" s="3"/>
    </row>
    <row r="624" ht="12.75" customHeight="1">
      <c r="G624" s="3"/>
    </row>
    <row r="625" ht="12.75" customHeight="1">
      <c r="G625" s="3"/>
    </row>
    <row r="626" ht="12.75" customHeight="1">
      <c r="G626" s="3"/>
    </row>
    <row r="627" ht="12.75" customHeight="1">
      <c r="G627" s="3"/>
    </row>
    <row r="628" ht="12.75" customHeight="1">
      <c r="G628" s="3"/>
    </row>
    <row r="629" ht="12.75" customHeight="1">
      <c r="G629" s="3"/>
    </row>
    <row r="630" ht="12.75" customHeight="1">
      <c r="G630" s="3"/>
    </row>
    <row r="631" ht="12.75" customHeight="1">
      <c r="G631" s="3"/>
    </row>
    <row r="632" ht="12.75" customHeight="1">
      <c r="G632" s="3"/>
    </row>
    <row r="633" ht="12.75" customHeight="1">
      <c r="G633" s="3"/>
    </row>
    <row r="634" ht="12.75" customHeight="1">
      <c r="G634" s="3"/>
    </row>
    <row r="635" ht="12.75" customHeight="1">
      <c r="G635" s="3"/>
    </row>
    <row r="636" ht="12.75" customHeight="1">
      <c r="G636" s="3"/>
    </row>
    <row r="637" ht="12.75" customHeight="1">
      <c r="G637" s="3"/>
    </row>
    <row r="638" ht="12.75" customHeight="1">
      <c r="G638" s="3"/>
    </row>
    <row r="639" ht="12.75" customHeight="1">
      <c r="G639" s="3"/>
    </row>
    <row r="640" ht="12.75" customHeight="1">
      <c r="G640" s="3"/>
    </row>
    <row r="641" ht="12.75" customHeight="1">
      <c r="G641" s="3"/>
    </row>
    <row r="642" ht="12.75" customHeight="1">
      <c r="G642" s="3"/>
    </row>
    <row r="643" ht="12.75" customHeight="1">
      <c r="G643" s="3"/>
    </row>
    <row r="644" ht="12.75" customHeight="1">
      <c r="G644" s="3"/>
    </row>
    <row r="645" ht="12.75" customHeight="1">
      <c r="G645" s="3"/>
    </row>
    <row r="646" ht="12.75" customHeight="1">
      <c r="G646" s="3"/>
    </row>
    <row r="647" ht="12.75" customHeight="1">
      <c r="G647" s="3"/>
    </row>
    <row r="648" ht="12.75" customHeight="1">
      <c r="G648" s="3"/>
    </row>
    <row r="649" ht="12.75" customHeight="1">
      <c r="G649" s="3"/>
    </row>
    <row r="650" ht="12.75" customHeight="1">
      <c r="G650" s="3"/>
    </row>
    <row r="651" ht="12.75" customHeight="1">
      <c r="G651" s="3"/>
    </row>
    <row r="652" ht="12.75" customHeight="1">
      <c r="G652" s="3"/>
    </row>
    <row r="653" ht="12.75" customHeight="1">
      <c r="G653" s="3"/>
    </row>
    <row r="654" ht="12.75" customHeight="1">
      <c r="G654" s="3"/>
    </row>
    <row r="655" ht="12.75" customHeight="1">
      <c r="G655" s="3"/>
    </row>
    <row r="656" ht="12.75" customHeight="1">
      <c r="G656" s="3"/>
    </row>
    <row r="657" ht="12.75" customHeight="1">
      <c r="G657" s="3"/>
    </row>
    <row r="658" ht="12.75" customHeight="1">
      <c r="G658" s="3"/>
    </row>
    <row r="659" ht="12.75" customHeight="1">
      <c r="G659" s="3"/>
    </row>
    <row r="660" ht="12.75" customHeight="1">
      <c r="G660" s="3"/>
    </row>
    <row r="661" ht="12.75" customHeight="1">
      <c r="G661" s="3"/>
    </row>
    <row r="662" ht="12.75" customHeight="1">
      <c r="G662" s="3"/>
    </row>
    <row r="663" ht="12.75" customHeight="1">
      <c r="G663" s="3"/>
    </row>
    <row r="664" ht="12.75" customHeight="1">
      <c r="G664" s="3"/>
    </row>
    <row r="665" ht="12.75" customHeight="1">
      <c r="G665" s="3"/>
    </row>
    <row r="666" ht="12.75" customHeight="1">
      <c r="G666" s="3"/>
    </row>
    <row r="667" ht="12.75" customHeight="1">
      <c r="G667" s="3"/>
    </row>
    <row r="668" ht="12.75" customHeight="1">
      <c r="G668" s="3"/>
    </row>
    <row r="669" ht="12.75" customHeight="1">
      <c r="G669" s="3"/>
    </row>
    <row r="670" ht="12.75" customHeight="1">
      <c r="G670" s="3"/>
    </row>
    <row r="671" ht="12.75" customHeight="1">
      <c r="G671" s="3"/>
    </row>
    <row r="672" ht="12.75" customHeight="1">
      <c r="G672" s="3"/>
    </row>
    <row r="673" ht="12.75" customHeight="1">
      <c r="G673" s="3"/>
    </row>
    <row r="674" ht="12.75" customHeight="1">
      <c r="G674" s="3"/>
    </row>
    <row r="675" ht="12.75" customHeight="1">
      <c r="G675" s="3"/>
    </row>
    <row r="676" ht="12.75" customHeight="1">
      <c r="G676" s="3"/>
    </row>
    <row r="677" ht="12.75" customHeight="1">
      <c r="G677" s="3"/>
    </row>
    <row r="678" ht="12.75" customHeight="1">
      <c r="G678" s="3"/>
    </row>
    <row r="679" ht="12.75" customHeight="1">
      <c r="G679" s="3"/>
    </row>
    <row r="680" ht="12.75" customHeight="1">
      <c r="G680" s="3"/>
    </row>
    <row r="681" ht="12.75" customHeight="1">
      <c r="G681" s="3"/>
    </row>
    <row r="682" ht="12.75" customHeight="1">
      <c r="G682" s="3"/>
    </row>
    <row r="683" ht="12.75" customHeight="1">
      <c r="G683" s="3"/>
    </row>
    <row r="684" ht="12.75" customHeight="1">
      <c r="G684" s="3"/>
    </row>
    <row r="685" ht="12.75" customHeight="1">
      <c r="G685" s="3"/>
    </row>
    <row r="686" ht="12.75" customHeight="1">
      <c r="G686" s="3"/>
    </row>
    <row r="687" ht="12.75" customHeight="1">
      <c r="G687" s="3"/>
    </row>
    <row r="688" ht="12.75" customHeight="1">
      <c r="G688" s="3"/>
    </row>
    <row r="689" ht="12.75" customHeight="1">
      <c r="G689" s="3"/>
    </row>
    <row r="690" ht="12.75" customHeight="1">
      <c r="G690" s="3"/>
    </row>
    <row r="691" ht="12.75" customHeight="1">
      <c r="G691" s="3"/>
    </row>
    <row r="692" ht="12.75" customHeight="1">
      <c r="G692" s="3"/>
    </row>
    <row r="693" ht="12.75" customHeight="1">
      <c r="G693" s="3"/>
    </row>
    <row r="694" ht="12.75" customHeight="1">
      <c r="G694" s="3"/>
    </row>
    <row r="695" ht="12.75" customHeight="1">
      <c r="G695" s="3"/>
    </row>
    <row r="696" ht="12.75" customHeight="1">
      <c r="G696" s="3"/>
    </row>
    <row r="697" ht="12.75" customHeight="1">
      <c r="G697" s="3"/>
    </row>
    <row r="698" ht="12.75" customHeight="1">
      <c r="G698" s="3"/>
    </row>
    <row r="699" ht="12.75" customHeight="1">
      <c r="G699" s="3"/>
    </row>
    <row r="700" ht="12.75" customHeight="1">
      <c r="G700" s="3"/>
    </row>
    <row r="701" ht="12.75" customHeight="1">
      <c r="G701" s="3"/>
    </row>
    <row r="702" ht="12.75" customHeight="1">
      <c r="G702" s="3"/>
    </row>
    <row r="703" ht="12.75" customHeight="1">
      <c r="G703" s="3"/>
    </row>
    <row r="704" ht="12.75" customHeight="1">
      <c r="G704" s="3"/>
    </row>
    <row r="705" ht="12.75" customHeight="1">
      <c r="G705" s="3"/>
    </row>
    <row r="706" ht="12.75" customHeight="1">
      <c r="G706" s="3"/>
    </row>
    <row r="707" ht="12.75" customHeight="1">
      <c r="G707" s="3"/>
    </row>
    <row r="708" ht="12.75" customHeight="1">
      <c r="G708" s="3"/>
    </row>
    <row r="709" ht="12.75" customHeight="1">
      <c r="G709" s="3"/>
    </row>
    <row r="710" ht="12.75" customHeight="1">
      <c r="G710" s="3"/>
    </row>
    <row r="711" ht="12.75" customHeight="1">
      <c r="G711" s="3"/>
    </row>
    <row r="712" ht="12.75" customHeight="1">
      <c r="G712" s="3"/>
    </row>
    <row r="713" ht="12.75" customHeight="1">
      <c r="G713" s="3"/>
    </row>
    <row r="714" ht="12.75" customHeight="1">
      <c r="G714" s="3"/>
    </row>
    <row r="715" ht="12.75" customHeight="1">
      <c r="G715" s="3"/>
    </row>
    <row r="716" ht="12.75" customHeight="1">
      <c r="G716" s="3"/>
    </row>
    <row r="717" ht="12.75" customHeight="1">
      <c r="G717" s="3"/>
    </row>
    <row r="718" ht="12.75" customHeight="1">
      <c r="G718" s="3"/>
    </row>
    <row r="719" ht="12.75" customHeight="1">
      <c r="G719" s="3"/>
    </row>
    <row r="720" ht="12.75" customHeight="1">
      <c r="G720" s="3"/>
    </row>
    <row r="721" ht="12.75" customHeight="1">
      <c r="G721" s="3"/>
    </row>
    <row r="722" ht="12.75" customHeight="1">
      <c r="G722" s="3"/>
    </row>
    <row r="723" ht="12.75" customHeight="1">
      <c r="G723" s="3"/>
    </row>
    <row r="724" ht="12.75" customHeight="1">
      <c r="G724" s="3"/>
    </row>
    <row r="725" ht="12.75" customHeight="1">
      <c r="G725" s="3"/>
    </row>
    <row r="726" ht="12.75" customHeight="1">
      <c r="G726" s="3"/>
    </row>
    <row r="727" ht="12.75" customHeight="1">
      <c r="G727" s="3"/>
    </row>
    <row r="728" ht="12.75" customHeight="1">
      <c r="G728" s="3"/>
    </row>
    <row r="729" ht="12.75" customHeight="1">
      <c r="G729" s="3"/>
    </row>
    <row r="730" ht="12.75" customHeight="1">
      <c r="G730" s="3"/>
    </row>
    <row r="731" ht="12.75" customHeight="1">
      <c r="G731" s="3"/>
    </row>
    <row r="732" ht="12.75" customHeight="1">
      <c r="G732" s="3"/>
    </row>
    <row r="733" ht="12.75" customHeight="1">
      <c r="G733" s="3"/>
    </row>
    <row r="734" ht="12.75" customHeight="1">
      <c r="G734" s="3"/>
    </row>
    <row r="735" ht="12.75" customHeight="1">
      <c r="G735" s="3"/>
    </row>
    <row r="736" ht="12.75" customHeight="1">
      <c r="G736" s="3"/>
    </row>
    <row r="737" ht="12.75" customHeight="1">
      <c r="G737" s="3"/>
    </row>
    <row r="738" ht="12.75" customHeight="1">
      <c r="G738" s="3"/>
    </row>
    <row r="739" ht="12.75" customHeight="1">
      <c r="G739" s="3"/>
    </row>
    <row r="740" ht="12.75" customHeight="1">
      <c r="G740" s="3"/>
    </row>
    <row r="741" ht="12.75" customHeight="1">
      <c r="G741" s="3"/>
    </row>
    <row r="742" ht="12.75" customHeight="1">
      <c r="G742" s="3"/>
    </row>
    <row r="743" ht="12.75" customHeight="1">
      <c r="G743" s="3"/>
    </row>
    <row r="744" ht="12.75" customHeight="1">
      <c r="G744" s="3"/>
    </row>
    <row r="745" ht="12.75" customHeight="1">
      <c r="G745" s="3"/>
    </row>
    <row r="746" ht="12.75" customHeight="1">
      <c r="G746" s="3"/>
    </row>
    <row r="747" ht="12.75" customHeight="1">
      <c r="G747" s="3"/>
    </row>
    <row r="748" ht="12.75" customHeight="1">
      <c r="G748" s="3"/>
    </row>
    <row r="749" ht="12.75" customHeight="1">
      <c r="G749" s="3"/>
    </row>
    <row r="750" ht="12.75" customHeight="1">
      <c r="G750" s="3"/>
    </row>
    <row r="751" ht="12.75" customHeight="1">
      <c r="G751" s="3"/>
    </row>
    <row r="752" ht="12.75" customHeight="1">
      <c r="G752" s="3"/>
    </row>
    <row r="753" ht="12.75" customHeight="1">
      <c r="G753" s="3"/>
    </row>
    <row r="754" ht="12.75" customHeight="1">
      <c r="G754" s="3"/>
    </row>
    <row r="755" ht="12.75" customHeight="1">
      <c r="G755" s="3"/>
    </row>
    <row r="756" ht="12.75" customHeight="1">
      <c r="G756" s="3"/>
    </row>
    <row r="757" ht="12.75" customHeight="1">
      <c r="G757" s="3"/>
    </row>
    <row r="758" ht="12.75" customHeight="1">
      <c r="G758" s="3"/>
    </row>
    <row r="759" ht="12.75" customHeight="1">
      <c r="G759" s="3"/>
    </row>
    <row r="760" ht="12.75" customHeight="1">
      <c r="G760" s="3"/>
    </row>
    <row r="761" ht="12.75" customHeight="1">
      <c r="G761" s="3"/>
    </row>
    <row r="762" ht="12.75" customHeight="1">
      <c r="G762" s="3"/>
    </row>
    <row r="763" ht="12.75" customHeight="1">
      <c r="G763" s="3"/>
    </row>
    <row r="764" ht="12.75" customHeight="1">
      <c r="G764" s="3"/>
    </row>
    <row r="765" ht="12.75" customHeight="1">
      <c r="G765" s="3"/>
    </row>
    <row r="766" ht="12.75" customHeight="1">
      <c r="G766" s="3"/>
    </row>
    <row r="767" ht="12.75" customHeight="1">
      <c r="G767" s="3"/>
    </row>
    <row r="768" ht="12.75" customHeight="1">
      <c r="G768" s="3"/>
    </row>
    <row r="769" ht="12.75" customHeight="1">
      <c r="G769" s="3"/>
    </row>
    <row r="770" ht="12.75" customHeight="1">
      <c r="G770" s="3"/>
    </row>
    <row r="771" ht="12.75" customHeight="1">
      <c r="G771" s="3"/>
    </row>
    <row r="772" ht="12.75" customHeight="1">
      <c r="G772" s="3"/>
    </row>
    <row r="773" ht="12.75" customHeight="1">
      <c r="G773" s="3"/>
    </row>
    <row r="774" ht="12.75" customHeight="1">
      <c r="G774" s="3"/>
    </row>
    <row r="775" ht="12.75" customHeight="1">
      <c r="G775" s="3"/>
    </row>
    <row r="776" ht="12.75" customHeight="1">
      <c r="G776" s="3"/>
    </row>
    <row r="777" ht="12.75" customHeight="1">
      <c r="G777" s="3"/>
    </row>
    <row r="778" ht="12.75" customHeight="1">
      <c r="G778" s="3"/>
    </row>
    <row r="779" ht="12.75" customHeight="1">
      <c r="G779" s="3"/>
    </row>
    <row r="780" ht="12.75" customHeight="1">
      <c r="G780" s="3"/>
    </row>
    <row r="781" ht="12.75" customHeight="1">
      <c r="G781" s="3"/>
    </row>
    <row r="782" ht="12.75" customHeight="1">
      <c r="G782" s="3"/>
    </row>
    <row r="783" ht="12.75" customHeight="1">
      <c r="G783" s="3"/>
    </row>
    <row r="784" ht="12.75" customHeight="1">
      <c r="G784" s="3"/>
    </row>
    <row r="785" ht="12.75" customHeight="1">
      <c r="G785" s="3"/>
    </row>
    <row r="786" ht="12.75" customHeight="1">
      <c r="G786" s="3"/>
    </row>
    <row r="787" ht="12.75" customHeight="1">
      <c r="G787" s="3"/>
    </row>
    <row r="788" ht="12.75" customHeight="1">
      <c r="G788" s="3"/>
    </row>
    <row r="789" ht="12.75" customHeight="1">
      <c r="G789" s="3"/>
    </row>
    <row r="790" ht="12.75" customHeight="1">
      <c r="G790" s="3"/>
    </row>
    <row r="791" ht="12.75" customHeight="1">
      <c r="G791" s="3"/>
    </row>
    <row r="792" ht="12.75" customHeight="1">
      <c r="G792" s="3"/>
    </row>
    <row r="793" ht="12.75" customHeight="1">
      <c r="G793" s="3"/>
    </row>
    <row r="794" ht="12.75" customHeight="1">
      <c r="G794" s="3"/>
    </row>
    <row r="795" ht="12.75" customHeight="1">
      <c r="G795" s="3"/>
    </row>
    <row r="796" ht="12.75" customHeight="1">
      <c r="G796" s="3"/>
    </row>
    <row r="797" ht="12.75" customHeight="1">
      <c r="G797" s="3"/>
    </row>
    <row r="798" ht="12.75" customHeight="1">
      <c r="G798" s="3"/>
    </row>
    <row r="799" ht="12.75" customHeight="1">
      <c r="G799" s="3"/>
    </row>
    <row r="800" ht="12.75" customHeight="1">
      <c r="G800" s="3"/>
    </row>
    <row r="801" ht="12.75" customHeight="1">
      <c r="G801" s="3"/>
    </row>
    <row r="802" ht="12.75" customHeight="1">
      <c r="G802" s="3"/>
    </row>
    <row r="803" ht="12.75" customHeight="1">
      <c r="G803" s="3"/>
    </row>
    <row r="804" ht="12.75" customHeight="1">
      <c r="G804" s="3"/>
    </row>
    <row r="805" ht="12.75" customHeight="1">
      <c r="G805" s="3"/>
    </row>
    <row r="806" ht="12.75" customHeight="1">
      <c r="G806" s="3"/>
    </row>
    <row r="807" ht="12.75" customHeight="1">
      <c r="G807" s="3"/>
    </row>
    <row r="808" ht="12.75" customHeight="1">
      <c r="G808" s="3"/>
    </row>
    <row r="809" ht="12.75" customHeight="1">
      <c r="G809" s="3"/>
    </row>
    <row r="810" ht="12.75" customHeight="1">
      <c r="G810" s="3"/>
    </row>
    <row r="811" ht="12.75" customHeight="1">
      <c r="G811" s="3"/>
    </row>
    <row r="812" ht="12.75" customHeight="1">
      <c r="G812" s="3"/>
    </row>
    <row r="813" ht="12.75" customHeight="1">
      <c r="G813" s="3"/>
    </row>
    <row r="814" ht="12.75" customHeight="1">
      <c r="G814" s="3"/>
    </row>
    <row r="815" ht="12.75" customHeight="1">
      <c r="G815" s="3"/>
    </row>
    <row r="816" ht="12.75" customHeight="1">
      <c r="G816" s="3"/>
    </row>
    <row r="817" ht="12.75" customHeight="1">
      <c r="G817" s="3"/>
    </row>
    <row r="818" ht="12.75" customHeight="1">
      <c r="G818" s="3"/>
    </row>
    <row r="819" ht="12.75" customHeight="1">
      <c r="G819" s="3"/>
    </row>
    <row r="820" ht="12.75" customHeight="1">
      <c r="G820" s="3"/>
    </row>
    <row r="821" ht="12.75" customHeight="1">
      <c r="G821" s="3"/>
    </row>
    <row r="822" ht="12.75" customHeight="1">
      <c r="G822" s="3"/>
    </row>
    <row r="823" ht="12.75" customHeight="1">
      <c r="G823" s="3"/>
    </row>
    <row r="824" ht="12.75" customHeight="1">
      <c r="G824" s="3"/>
    </row>
    <row r="825" ht="12.75" customHeight="1">
      <c r="G825" s="3"/>
    </row>
    <row r="826" ht="12.75" customHeight="1">
      <c r="G826" s="3"/>
    </row>
    <row r="827" ht="12.75" customHeight="1">
      <c r="G827" s="3"/>
    </row>
    <row r="828" ht="12.75" customHeight="1">
      <c r="G828" s="3"/>
    </row>
    <row r="829" ht="12.75" customHeight="1">
      <c r="G829" s="3"/>
    </row>
    <row r="830" ht="12.75" customHeight="1">
      <c r="G830" s="3"/>
    </row>
    <row r="831" ht="12.75" customHeight="1">
      <c r="G831" s="3"/>
    </row>
    <row r="832" ht="12.75" customHeight="1">
      <c r="G832" s="3"/>
    </row>
    <row r="833" ht="12.75" customHeight="1">
      <c r="G833" s="3"/>
    </row>
    <row r="834" ht="12.75" customHeight="1">
      <c r="G834" s="3"/>
    </row>
    <row r="835" ht="12.75" customHeight="1">
      <c r="G835" s="3"/>
    </row>
    <row r="836" ht="12.75" customHeight="1">
      <c r="G836" s="3"/>
    </row>
    <row r="837" ht="12.75" customHeight="1">
      <c r="G837" s="3"/>
    </row>
    <row r="838" ht="12.75" customHeight="1">
      <c r="G838" s="3"/>
    </row>
    <row r="839" ht="12.75" customHeight="1">
      <c r="G839" s="3"/>
    </row>
    <row r="840" ht="12.75" customHeight="1">
      <c r="G840" s="3"/>
    </row>
    <row r="841" ht="12.75" customHeight="1">
      <c r="G841" s="3"/>
    </row>
    <row r="842" ht="12.75" customHeight="1">
      <c r="G842" s="3"/>
    </row>
    <row r="843" ht="12.75" customHeight="1">
      <c r="G843" s="3"/>
    </row>
    <row r="844" ht="12.75" customHeight="1">
      <c r="G844" s="3"/>
    </row>
    <row r="845" ht="12.75" customHeight="1">
      <c r="G845" s="3"/>
    </row>
    <row r="846" ht="12.75" customHeight="1">
      <c r="G846" s="3"/>
    </row>
    <row r="847" ht="12.75" customHeight="1">
      <c r="G847" s="3"/>
    </row>
    <row r="848" ht="12.75" customHeight="1">
      <c r="G848" s="3"/>
    </row>
    <row r="849" ht="12.75" customHeight="1">
      <c r="G849" s="3"/>
    </row>
    <row r="850" ht="12.75" customHeight="1">
      <c r="G850" s="3"/>
    </row>
    <row r="851" ht="12.75" customHeight="1">
      <c r="G851" s="3"/>
    </row>
    <row r="852" ht="12.75" customHeight="1">
      <c r="G852" s="3"/>
    </row>
    <row r="853" ht="12.75" customHeight="1">
      <c r="G853" s="3"/>
    </row>
    <row r="854" ht="12.75" customHeight="1">
      <c r="G854" s="3"/>
    </row>
    <row r="855" ht="12.75" customHeight="1">
      <c r="G855" s="3"/>
    </row>
    <row r="856" ht="12.75" customHeight="1">
      <c r="G856" s="3"/>
    </row>
    <row r="857" ht="12.75" customHeight="1">
      <c r="G857" s="3"/>
    </row>
    <row r="858" ht="12.75" customHeight="1">
      <c r="G858" s="3"/>
    </row>
    <row r="859" ht="12.75" customHeight="1">
      <c r="G859" s="3"/>
    </row>
    <row r="860" ht="12.75" customHeight="1">
      <c r="G860" s="3"/>
    </row>
    <row r="861" ht="12.75" customHeight="1">
      <c r="G861" s="3"/>
    </row>
    <row r="862" ht="12.75" customHeight="1">
      <c r="G862" s="3"/>
    </row>
    <row r="863" ht="12.75" customHeight="1">
      <c r="G863" s="3"/>
    </row>
    <row r="864" ht="12.75" customHeight="1">
      <c r="G864" s="3"/>
    </row>
    <row r="865" ht="12.75" customHeight="1">
      <c r="G865" s="3"/>
    </row>
    <row r="866" ht="12.75" customHeight="1">
      <c r="G866" s="3"/>
    </row>
    <row r="867" ht="12.75" customHeight="1">
      <c r="G867" s="3"/>
    </row>
    <row r="868" ht="12.75" customHeight="1">
      <c r="G868" s="3"/>
    </row>
    <row r="869" ht="12.75" customHeight="1">
      <c r="G869" s="3"/>
    </row>
    <row r="870" ht="12.75" customHeight="1">
      <c r="G870" s="3"/>
    </row>
    <row r="871" ht="12.75" customHeight="1">
      <c r="G871" s="3"/>
    </row>
    <row r="872" ht="12.75" customHeight="1">
      <c r="G872" s="3"/>
    </row>
    <row r="873" ht="12.75" customHeight="1">
      <c r="G873" s="3"/>
    </row>
    <row r="874" ht="12.75" customHeight="1">
      <c r="G874" s="3"/>
    </row>
    <row r="875" ht="12.75" customHeight="1">
      <c r="G875" s="3"/>
    </row>
    <row r="876" ht="12.75" customHeight="1">
      <c r="G876" s="3"/>
    </row>
    <row r="877" ht="12.75" customHeight="1">
      <c r="G877" s="3"/>
    </row>
    <row r="878" ht="12.75" customHeight="1">
      <c r="G878" s="3"/>
    </row>
    <row r="879" ht="12.75" customHeight="1">
      <c r="G879" s="3"/>
    </row>
    <row r="880" ht="12.75" customHeight="1">
      <c r="G880" s="3"/>
    </row>
    <row r="881" ht="12.75" customHeight="1">
      <c r="G881" s="3"/>
    </row>
    <row r="882" ht="12.75" customHeight="1">
      <c r="G882" s="3"/>
    </row>
    <row r="883" ht="12.75" customHeight="1">
      <c r="G883" s="3"/>
    </row>
    <row r="884" ht="12.75" customHeight="1">
      <c r="G884" s="3"/>
    </row>
    <row r="885" ht="12.75" customHeight="1">
      <c r="G885" s="3"/>
    </row>
    <row r="886" ht="12.75" customHeight="1">
      <c r="G886" s="3"/>
    </row>
    <row r="887" ht="12.75" customHeight="1">
      <c r="G887" s="3"/>
    </row>
    <row r="888" ht="12.75" customHeight="1">
      <c r="G888" s="3"/>
    </row>
    <row r="889" ht="12.75" customHeight="1">
      <c r="G889" s="3"/>
    </row>
    <row r="890" ht="12.75" customHeight="1">
      <c r="G890" s="3"/>
    </row>
    <row r="891" ht="12.75" customHeight="1">
      <c r="G891" s="3"/>
    </row>
    <row r="892" ht="12.75" customHeight="1">
      <c r="G892" s="3"/>
    </row>
    <row r="893" ht="12.75" customHeight="1">
      <c r="G893" s="3"/>
    </row>
    <row r="894" ht="12.75" customHeight="1">
      <c r="G894" s="3"/>
    </row>
    <row r="895" ht="12.75" customHeight="1">
      <c r="G895" s="3"/>
    </row>
    <row r="896" ht="12.75" customHeight="1">
      <c r="G896" s="3"/>
    </row>
    <row r="897" ht="12.75" customHeight="1">
      <c r="G897" s="3"/>
    </row>
    <row r="898" ht="12.75" customHeight="1">
      <c r="G898" s="3"/>
    </row>
    <row r="899" ht="12.75" customHeight="1">
      <c r="G899" s="3"/>
    </row>
    <row r="900" ht="12.75" customHeight="1">
      <c r="G900" s="3"/>
    </row>
    <row r="901" ht="12.75" customHeight="1">
      <c r="G901" s="3"/>
    </row>
    <row r="902" ht="12.75" customHeight="1">
      <c r="G902" s="3"/>
    </row>
    <row r="903" ht="12.75" customHeight="1">
      <c r="G903" s="3"/>
    </row>
    <row r="904" ht="12.75" customHeight="1">
      <c r="G904" s="3"/>
    </row>
    <row r="905" ht="12.75" customHeight="1">
      <c r="G905" s="3"/>
    </row>
    <row r="906" ht="12.75" customHeight="1">
      <c r="G906" s="3"/>
    </row>
    <row r="907" ht="12.75" customHeight="1">
      <c r="G907" s="3"/>
    </row>
    <row r="908" ht="12.75" customHeight="1">
      <c r="G908" s="3"/>
    </row>
    <row r="909" ht="12.75" customHeight="1">
      <c r="G909" s="3"/>
    </row>
    <row r="910" ht="12.75" customHeight="1">
      <c r="G910" s="3"/>
    </row>
    <row r="911" ht="12.75" customHeight="1">
      <c r="G911" s="3"/>
    </row>
    <row r="912" ht="12.75" customHeight="1">
      <c r="G912" s="3"/>
    </row>
    <row r="913" ht="12.75" customHeight="1">
      <c r="G913" s="3"/>
    </row>
    <row r="914" ht="12.75" customHeight="1">
      <c r="G914" s="3"/>
    </row>
    <row r="915" ht="12.75" customHeight="1">
      <c r="G915" s="3"/>
    </row>
    <row r="916" ht="12.75" customHeight="1">
      <c r="G916" s="3"/>
    </row>
    <row r="917" ht="12.75" customHeight="1">
      <c r="G917" s="3"/>
    </row>
    <row r="918" ht="12.75" customHeight="1">
      <c r="G918" s="3"/>
    </row>
    <row r="919" ht="12.75" customHeight="1">
      <c r="G919" s="3"/>
    </row>
    <row r="920" ht="12.75" customHeight="1">
      <c r="G920" s="3"/>
    </row>
    <row r="921" ht="12.75" customHeight="1">
      <c r="G921" s="3"/>
    </row>
    <row r="922" ht="12.75" customHeight="1">
      <c r="G922" s="3"/>
    </row>
    <row r="923" ht="12.75" customHeight="1">
      <c r="G923" s="3"/>
    </row>
    <row r="924" ht="12.75" customHeight="1">
      <c r="G924" s="3"/>
    </row>
    <row r="925" ht="12.75" customHeight="1">
      <c r="G925" s="3"/>
    </row>
    <row r="926" ht="12.75" customHeight="1">
      <c r="G926" s="3"/>
    </row>
    <row r="927" ht="12.75" customHeight="1">
      <c r="G927" s="3"/>
    </row>
    <row r="928" ht="12.75" customHeight="1">
      <c r="G928" s="3"/>
    </row>
    <row r="929" ht="12.75" customHeight="1">
      <c r="G929" s="3"/>
    </row>
    <row r="930" ht="12.75" customHeight="1">
      <c r="G930" s="3"/>
    </row>
    <row r="931" ht="12.75" customHeight="1">
      <c r="G931" s="3"/>
    </row>
    <row r="932" ht="12.75" customHeight="1">
      <c r="G932" s="3"/>
    </row>
    <row r="933" ht="12.75" customHeight="1">
      <c r="G933" s="3"/>
    </row>
    <row r="934" ht="12.75" customHeight="1">
      <c r="G934" s="3"/>
    </row>
    <row r="935" ht="12.75" customHeight="1">
      <c r="G935" s="3"/>
    </row>
    <row r="936" ht="12.75" customHeight="1">
      <c r="G936" s="3"/>
    </row>
    <row r="937" ht="12.75" customHeight="1">
      <c r="G937" s="3"/>
    </row>
    <row r="938" ht="12.75" customHeight="1">
      <c r="G938" s="3"/>
    </row>
    <row r="939" ht="12.75" customHeight="1">
      <c r="G939" s="3"/>
    </row>
    <row r="940" ht="12.75" customHeight="1">
      <c r="G940" s="3"/>
    </row>
    <row r="941" ht="12.75" customHeight="1">
      <c r="G941" s="3"/>
    </row>
    <row r="942" ht="12.75" customHeight="1">
      <c r="G942" s="3"/>
    </row>
    <row r="943" ht="12.75" customHeight="1">
      <c r="G943" s="3"/>
    </row>
    <row r="944" ht="12.75" customHeight="1">
      <c r="G944" s="3"/>
    </row>
    <row r="945" ht="12.75" customHeight="1">
      <c r="G945" s="3"/>
    </row>
    <row r="946" ht="12.75" customHeight="1">
      <c r="G946" s="3"/>
    </row>
    <row r="947" ht="12.75" customHeight="1">
      <c r="G947" s="3"/>
    </row>
    <row r="948" ht="12.75" customHeight="1">
      <c r="G948" s="3"/>
    </row>
    <row r="949" ht="12.75" customHeight="1">
      <c r="G949" s="3"/>
    </row>
    <row r="950" ht="12.75" customHeight="1">
      <c r="G950" s="3"/>
    </row>
    <row r="951" ht="12.75" customHeight="1">
      <c r="G951" s="3"/>
    </row>
    <row r="952" ht="12.75" customHeight="1">
      <c r="G952" s="3"/>
    </row>
    <row r="953" ht="12.75" customHeight="1">
      <c r="G953" s="3"/>
    </row>
    <row r="954" ht="12.75" customHeight="1">
      <c r="G954" s="3"/>
    </row>
    <row r="955" ht="12.75" customHeight="1">
      <c r="G955" s="3"/>
    </row>
    <row r="956" ht="12.75" customHeight="1">
      <c r="G956" s="3"/>
    </row>
    <row r="957" ht="12.75" customHeight="1">
      <c r="G957" s="3"/>
    </row>
    <row r="958" ht="12.75" customHeight="1">
      <c r="G958" s="3"/>
    </row>
    <row r="959" ht="12.75" customHeight="1">
      <c r="G959" s="3"/>
    </row>
    <row r="960" ht="12.75" customHeight="1">
      <c r="G960" s="3"/>
    </row>
    <row r="961" ht="12.75" customHeight="1">
      <c r="G961" s="3"/>
    </row>
    <row r="962" ht="12.75" customHeight="1">
      <c r="G962" s="3"/>
    </row>
    <row r="963" ht="12.75" customHeight="1">
      <c r="G963" s="3"/>
    </row>
    <row r="964" ht="12.75" customHeight="1">
      <c r="G964" s="3"/>
    </row>
    <row r="965" ht="12.75" customHeight="1">
      <c r="G965" s="3"/>
    </row>
    <row r="966" ht="12.75" customHeight="1">
      <c r="G966" s="3"/>
    </row>
    <row r="967" ht="12.75" customHeight="1">
      <c r="G967" s="3"/>
    </row>
    <row r="968" ht="12.75" customHeight="1">
      <c r="G968" s="3"/>
    </row>
    <row r="969" ht="12.75" customHeight="1">
      <c r="G969" s="3"/>
    </row>
    <row r="970" ht="12.75" customHeight="1">
      <c r="G970" s="3"/>
    </row>
    <row r="971" ht="12.75" customHeight="1">
      <c r="G971" s="3"/>
    </row>
    <row r="972" ht="12.75" customHeight="1">
      <c r="G972" s="3"/>
    </row>
    <row r="973" ht="12.75" customHeight="1">
      <c r="G973" s="3"/>
    </row>
    <row r="974" ht="12.75" customHeight="1">
      <c r="G974" s="3"/>
    </row>
    <row r="975" ht="12.75" customHeight="1">
      <c r="G975" s="3"/>
    </row>
    <row r="976" ht="12.75" customHeight="1">
      <c r="G976" s="3"/>
    </row>
    <row r="977" ht="12.75" customHeight="1">
      <c r="G977" s="3"/>
    </row>
    <row r="978" ht="12.75" customHeight="1">
      <c r="G978" s="3"/>
    </row>
    <row r="979" ht="12.75" customHeight="1">
      <c r="G979" s="3"/>
    </row>
    <row r="980" ht="12.75" customHeight="1">
      <c r="G980" s="3"/>
    </row>
    <row r="981" ht="12.75" customHeight="1">
      <c r="G981" s="3"/>
    </row>
    <row r="982" ht="12.75" customHeight="1">
      <c r="G982" s="3"/>
    </row>
    <row r="983" ht="12.75" customHeight="1">
      <c r="G983" s="3"/>
    </row>
    <row r="984" ht="12.75" customHeight="1">
      <c r="G984" s="3"/>
    </row>
    <row r="985" ht="12.75" customHeight="1">
      <c r="G985" s="3"/>
    </row>
    <row r="986" ht="12.75" customHeight="1">
      <c r="G986" s="3"/>
    </row>
    <row r="987" ht="12.75" customHeight="1">
      <c r="G987" s="3"/>
    </row>
    <row r="988" ht="12.75" customHeight="1">
      <c r="G988" s="3"/>
    </row>
    <row r="989" ht="12.75" customHeight="1">
      <c r="G989" s="3"/>
    </row>
    <row r="990" ht="12.75" customHeight="1">
      <c r="G990" s="3"/>
    </row>
    <row r="991" ht="12.75" customHeight="1">
      <c r="G991" s="3"/>
    </row>
    <row r="992" ht="12.75" customHeight="1">
      <c r="G992" s="3"/>
    </row>
    <row r="993" ht="12.75" customHeight="1">
      <c r="G993" s="3"/>
    </row>
    <row r="994" ht="12.75" customHeight="1">
      <c r="G994" s="3"/>
    </row>
    <row r="995" ht="12.75" customHeight="1">
      <c r="G995" s="3"/>
    </row>
    <row r="996" ht="12.75" customHeight="1">
      <c r="G996" s="3"/>
    </row>
    <row r="997" ht="12.75" customHeight="1">
      <c r="G997" s="3"/>
    </row>
    <row r="998" ht="12.75" customHeight="1">
      <c r="G998" s="3"/>
    </row>
    <row r="999" ht="12.75" customHeight="1">
      <c r="G999" s="3"/>
    </row>
    <row r="1000" ht="12.75" customHeight="1">
      <c r="G1000" s="3"/>
    </row>
  </sheetData>
  <conditionalFormatting sqref="G4:H10 E31 E5:E10 A4:D10">
    <cfRule type="expression" dxfId="0" priority="1">
      <formula>$F4="Planned"</formula>
    </cfRule>
  </conditionalFormatting>
  <conditionalFormatting sqref="G4:H10 E31 E5:E10 A4:D10">
    <cfRule type="expression" dxfId="1" priority="2">
      <formula>$F4="Ongoing"</formula>
    </cfRule>
  </conditionalFormatting>
  <conditionalFormatting sqref="F4:F10 F16:F30">
    <cfRule type="expression" dxfId="0" priority="3">
      <formula>$F4="Planned"</formula>
    </cfRule>
  </conditionalFormatting>
  <conditionalFormatting sqref="F4:F10 F16:F30">
    <cfRule type="expression" dxfId="1" priority="4">
      <formula>$F4="Ongoing"</formula>
    </cfRule>
  </conditionalFormatting>
  <conditionalFormatting sqref="F4:F10 F16:F30">
    <cfRule type="cellIs" dxfId="2" priority="5" operator="equal">
      <formula>"Unplanned"</formula>
    </cfRule>
  </conditionalFormatting>
  <conditionalFormatting sqref="E4 G16:H30 A16:E30">
    <cfRule type="expression" dxfId="0" priority="6">
      <formula>OR($F4="Planned",$F4="Unplanned")</formula>
    </cfRule>
  </conditionalFormatting>
  <conditionalFormatting sqref="E4 G16:H30 A16:E30">
    <cfRule type="expression" dxfId="1" priority="7">
      <formula>$F4="Ongoing"</formula>
    </cfRule>
  </conditionalFormatting>
  <conditionalFormatting sqref="B3">
    <cfRule type="notContainsBlanks" dxfId="3" priority="8">
      <formula>LEN(TRIM(B3))&gt;0</formula>
    </cfRule>
  </conditionalFormatting>
  <dataValidations>
    <dataValidation type="list" allowBlank="1" showInputMessage="1" showErrorMessage="1" prompt=" - " sqref="F4:F10 F16:F30">
      <formula1>"Planned,Ongoing,Released,Unplanned"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7.0"/>
    <col customWidth="1" min="2" max="2" width="27.0"/>
    <col customWidth="1" min="3" max="3" width="10.86"/>
    <col customWidth="1" min="4" max="6" width="9.14"/>
    <col customWidth="1" min="7" max="7" width="54.14"/>
    <col customWidth="1" min="8" max="10" width="9.14"/>
    <col customWidth="1" min="11" max="26" width="8.0"/>
  </cols>
  <sheetData>
    <row r="1" ht="17.25" customHeight="1">
      <c r="A1" s="1" t="s">
        <v>0</v>
      </c>
      <c r="B1" s="5"/>
      <c r="C1" s="6" t="s">
        <v>4</v>
      </c>
      <c r="D1" s="9"/>
      <c r="E1" s="9"/>
      <c r="F1" s="9"/>
      <c r="G1" s="5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ht="12.75" customHeight="1">
      <c r="A2" s="9"/>
      <c r="B2" s="5"/>
      <c r="C2" s="9"/>
      <c r="D2" s="9"/>
      <c r="E2" s="9"/>
      <c r="F2" s="9"/>
      <c r="G2" s="5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ht="13.5" customHeight="1">
      <c r="A3" s="15" t="s">
        <v>11</v>
      </c>
      <c r="B3" s="16" t="s">
        <v>12</v>
      </c>
      <c r="C3" s="15" t="s">
        <v>8</v>
      </c>
      <c r="D3" s="15" t="s">
        <v>7</v>
      </c>
      <c r="E3" s="17" t="s">
        <v>13</v>
      </c>
      <c r="F3" s="15" t="s">
        <v>14</v>
      </c>
      <c r="G3" s="16" t="s">
        <v>15</v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>
      <c r="A4" s="19">
        <v>1.0</v>
      </c>
      <c r="B4" s="21" t="s">
        <v>16</v>
      </c>
      <c r="C4" s="23" t="s">
        <v>17</v>
      </c>
      <c r="D4" s="25">
        <v>5.0</v>
      </c>
      <c r="E4" s="23">
        <v>1.0</v>
      </c>
      <c r="F4" s="27"/>
      <c r="G4" s="21" t="s">
        <v>18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>
      <c r="A5" s="19">
        <v>2.0</v>
      </c>
      <c r="B5" s="21" t="s">
        <v>19</v>
      </c>
      <c r="C5" s="23" t="s">
        <v>17</v>
      </c>
      <c r="D5" s="23">
        <v>1.0</v>
      </c>
      <c r="E5" s="23">
        <v>1.0</v>
      </c>
      <c r="F5" s="27"/>
      <c r="G5" s="21" t="s">
        <v>20</v>
      </c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>
      <c r="A6" s="19">
        <v>3.0</v>
      </c>
      <c r="B6" s="21" t="s">
        <v>21</v>
      </c>
      <c r="C6" s="27" t="s">
        <v>17</v>
      </c>
      <c r="D6" s="25">
        <v>3.0</v>
      </c>
      <c r="E6" s="23">
        <v>1.0</v>
      </c>
      <c r="F6" s="27"/>
      <c r="G6" s="21" t="s">
        <v>22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>
      <c r="A7" s="19">
        <v>4.0</v>
      </c>
      <c r="B7" s="21" t="s">
        <v>23</v>
      </c>
      <c r="C7" s="27" t="s">
        <v>17</v>
      </c>
      <c r="D7" s="23">
        <v>2.0</v>
      </c>
      <c r="E7" s="23">
        <v>3.0</v>
      </c>
      <c r="F7" s="27"/>
      <c r="G7" s="21" t="s">
        <v>24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>
      <c r="A8" s="19">
        <v>5.0</v>
      </c>
      <c r="B8" s="21" t="s">
        <v>25</v>
      </c>
      <c r="C8" s="27" t="s">
        <v>17</v>
      </c>
      <c r="D8" s="23">
        <v>1.0</v>
      </c>
      <c r="E8" s="23">
        <v>3.0</v>
      </c>
      <c r="F8" s="27"/>
      <c r="G8" s="21" t="s">
        <v>26</v>
      </c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>
      <c r="A9" s="19">
        <v>6.0</v>
      </c>
      <c r="B9" s="21" t="s">
        <v>27</v>
      </c>
      <c r="C9" s="23" t="s">
        <v>17</v>
      </c>
      <c r="D9" s="23">
        <v>2.0</v>
      </c>
      <c r="E9" s="23">
        <v>2.0</v>
      </c>
      <c r="F9" s="27"/>
      <c r="G9" s="21" t="s">
        <v>28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>
      <c r="A10" s="37">
        <v>7.0</v>
      </c>
      <c r="B10" s="21" t="s">
        <v>30</v>
      </c>
      <c r="C10" s="23" t="s">
        <v>17</v>
      </c>
      <c r="D10" s="23">
        <v>2.0</v>
      </c>
      <c r="E10" s="23">
        <v>3.0</v>
      </c>
      <c r="F10" s="27"/>
      <c r="G10" s="21" t="s">
        <v>33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>
      <c r="A11" s="37">
        <v>8.0</v>
      </c>
      <c r="B11" s="21" t="s">
        <v>34</v>
      </c>
      <c r="C11" s="23" t="s">
        <v>17</v>
      </c>
      <c r="D11" s="23">
        <v>1.0</v>
      </c>
      <c r="E11" s="23">
        <v>3.0</v>
      </c>
      <c r="F11" s="27"/>
      <c r="G11" s="21" t="s">
        <v>35</v>
      </c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>
      <c r="A12" s="37">
        <v>9.0</v>
      </c>
      <c r="B12" s="21" t="s">
        <v>38</v>
      </c>
      <c r="C12" s="23" t="s">
        <v>17</v>
      </c>
      <c r="D12" s="25">
        <v>5.0</v>
      </c>
      <c r="E12" s="23">
        <v>1.0</v>
      </c>
      <c r="F12" s="27"/>
      <c r="G12" s="21" t="s">
        <v>39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>
      <c r="A13" s="37">
        <v>10.0</v>
      </c>
      <c r="B13" s="21" t="s">
        <v>40</v>
      </c>
      <c r="C13" s="23" t="s">
        <v>17</v>
      </c>
      <c r="D13" s="23">
        <v>2.0</v>
      </c>
      <c r="E13" s="23">
        <v>2.0</v>
      </c>
      <c r="F13" s="27"/>
      <c r="G13" s="21" t="s">
        <v>42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ht="12.75" customHeight="1">
      <c r="A14" s="37">
        <v>11.0</v>
      </c>
      <c r="B14" s="21" t="s">
        <v>43</v>
      </c>
      <c r="C14" s="23" t="s">
        <v>17</v>
      </c>
      <c r="D14" s="23">
        <v>5.0</v>
      </c>
      <c r="E14" s="23">
        <v>2.0</v>
      </c>
      <c r="F14" s="23"/>
      <c r="G14" s="21" t="s">
        <v>44</v>
      </c>
      <c r="H14" s="42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ht="12.75" customHeight="1">
      <c r="A15" s="37">
        <v>12.0</v>
      </c>
      <c r="B15" s="21" t="s">
        <v>45</v>
      </c>
      <c r="C15" s="23" t="s">
        <v>17</v>
      </c>
      <c r="D15" s="23">
        <v>2.0</v>
      </c>
      <c r="E15" s="23">
        <v>2.0</v>
      </c>
      <c r="F15" s="27"/>
      <c r="G15" s="21" t="s">
        <v>46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ht="12.75" customHeight="1">
      <c r="A16" s="37">
        <v>13.0</v>
      </c>
      <c r="B16" s="21" t="s">
        <v>47</v>
      </c>
      <c r="C16" s="23" t="s">
        <v>17</v>
      </c>
      <c r="D16" s="23">
        <v>1.0</v>
      </c>
      <c r="E16" s="23">
        <v>3.0</v>
      </c>
      <c r="F16" s="27"/>
      <c r="G16" s="21" t="s">
        <v>48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ht="12.75" customHeight="1">
      <c r="A17" s="9"/>
      <c r="B17" s="5"/>
      <c r="C17" s="9"/>
      <c r="D17" s="9"/>
      <c r="E17" s="9"/>
      <c r="F17" s="9"/>
      <c r="G17" s="5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ht="12.75" customHeight="1">
      <c r="A18" s="9"/>
      <c r="B18" s="5"/>
      <c r="C18" s="9"/>
      <c r="D18" s="9"/>
      <c r="E18" s="9"/>
      <c r="F18" s="9"/>
      <c r="G18" s="5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ht="12.75" customHeight="1">
      <c r="A19" s="9"/>
      <c r="B19" s="5"/>
      <c r="C19" s="9"/>
      <c r="D19" s="9"/>
      <c r="E19" s="9"/>
      <c r="F19" s="9"/>
      <c r="G19" s="5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ht="12.75" customHeight="1">
      <c r="A20" s="9"/>
      <c r="B20" s="5"/>
      <c r="C20" s="9"/>
      <c r="D20" s="9"/>
      <c r="E20" s="9"/>
      <c r="F20" s="9"/>
      <c r="G20" s="5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ht="12.75" customHeight="1">
      <c r="A21" s="9"/>
      <c r="B21" s="5"/>
      <c r="C21" s="9"/>
      <c r="D21" s="9"/>
      <c r="E21" s="9"/>
      <c r="F21" s="9"/>
      <c r="G21" s="5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ht="12.75" customHeight="1">
      <c r="A22" s="9"/>
      <c r="B22" s="5"/>
      <c r="C22" s="9"/>
      <c r="D22" s="9"/>
      <c r="E22" s="9"/>
      <c r="F22" s="9"/>
      <c r="G22" s="5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ht="12.75" customHeight="1">
      <c r="A23" s="9"/>
      <c r="B23" s="5"/>
      <c r="C23" s="9"/>
      <c r="D23" s="9"/>
      <c r="E23" s="9"/>
      <c r="F23" s="9"/>
      <c r="G23" s="5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ht="12.75" customHeight="1">
      <c r="A24" s="9"/>
      <c r="B24" s="5"/>
      <c r="C24" s="9"/>
      <c r="D24" s="9"/>
      <c r="E24" s="9"/>
      <c r="F24" s="9"/>
      <c r="G24" s="5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ht="12.75" customHeight="1">
      <c r="A25" s="9"/>
      <c r="B25" s="5"/>
      <c r="C25" s="9"/>
      <c r="D25" s="9"/>
      <c r="E25" s="9"/>
      <c r="F25" s="9"/>
      <c r="G25" s="5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ht="12.75" customHeight="1">
      <c r="A26" s="9"/>
      <c r="B26" s="5"/>
      <c r="C26" s="9"/>
      <c r="D26" s="9"/>
      <c r="E26" s="9"/>
      <c r="F26" s="9"/>
      <c r="G26" s="5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ht="12.75" customHeight="1">
      <c r="A27" s="9"/>
      <c r="B27" s="5"/>
      <c r="C27" s="9"/>
      <c r="D27" s="9"/>
      <c r="E27" s="9"/>
      <c r="F27" s="9"/>
      <c r="G27" s="5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ht="12.75" customHeight="1">
      <c r="A28" s="9"/>
      <c r="B28" s="11"/>
      <c r="C28" s="9"/>
      <c r="D28" s="9"/>
      <c r="E28" s="9"/>
      <c r="F28" s="9"/>
      <c r="G28" s="5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ht="12.75" customHeight="1">
      <c r="A29" s="9"/>
      <c r="B29" s="5"/>
      <c r="C29" s="9"/>
      <c r="D29" s="9"/>
      <c r="E29" s="9"/>
      <c r="F29" s="9"/>
      <c r="G29" s="5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ht="12.75" customHeight="1">
      <c r="A30" s="9"/>
      <c r="B30" s="5"/>
      <c r="C30" s="9"/>
      <c r="D30" s="9"/>
      <c r="E30" s="9"/>
      <c r="F30" s="9"/>
      <c r="G30" s="5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ht="12.75" customHeight="1">
      <c r="A31" s="9"/>
      <c r="B31" s="5"/>
      <c r="C31" s="9"/>
      <c r="D31" s="9"/>
      <c r="E31" s="9"/>
      <c r="F31" s="9"/>
      <c r="G31" s="5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ht="12.75" customHeight="1">
      <c r="A32" s="9"/>
      <c r="B32" s="5"/>
      <c r="C32" s="9"/>
      <c r="D32" s="9"/>
      <c r="E32" s="9"/>
      <c r="F32" s="9"/>
      <c r="G32" s="5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ht="12.75" customHeight="1">
      <c r="A33" s="9"/>
      <c r="B33" s="5"/>
      <c r="C33" s="9"/>
      <c r="D33" s="9"/>
      <c r="E33" s="9"/>
      <c r="F33" s="9"/>
      <c r="G33" s="5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ht="12.75" customHeight="1">
      <c r="A34" s="9"/>
      <c r="B34" s="5"/>
      <c r="C34" s="9"/>
      <c r="D34" s="9"/>
      <c r="E34" s="9"/>
      <c r="F34" s="9"/>
      <c r="G34" s="5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ht="12.75" customHeight="1">
      <c r="A35" s="9"/>
      <c r="B35" s="5"/>
      <c r="C35" s="9"/>
      <c r="D35" s="9"/>
      <c r="E35" s="9"/>
      <c r="F35" s="9"/>
      <c r="G35" s="5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ht="12.75" customHeight="1">
      <c r="A36" s="9"/>
      <c r="B36" s="5"/>
      <c r="C36" s="9"/>
      <c r="D36" s="9"/>
      <c r="E36" s="9"/>
      <c r="F36" s="9"/>
      <c r="G36" s="5"/>
      <c r="H36" s="11"/>
      <c r="I36" s="11"/>
      <c r="J36" s="63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ht="12.75" customHeight="1">
      <c r="A37" s="9"/>
      <c r="B37" s="5"/>
      <c r="C37" s="9"/>
      <c r="D37" s="9"/>
      <c r="E37" s="9"/>
      <c r="F37" s="9"/>
      <c r="G37" s="5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ht="12.75" customHeight="1">
      <c r="A38" s="9"/>
      <c r="B38" s="5"/>
      <c r="C38" s="9"/>
      <c r="D38" s="9"/>
      <c r="E38" s="9"/>
      <c r="F38" s="9"/>
      <c r="G38" s="5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ht="12.75" customHeight="1">
      <c r="A39" s="9"/>
      <c r="B39" s="5"/>
      <c r="C39" s="9"/>
      <c r="D39" s="9"/>
      <c r="E39" s="9"/>
      <c r="F39" s="9"/>
      <c r="G39" s="5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ht="12.75" customHeight="1">
      <c r="A40" s="9"/>
      <c r="B40" s="5"/>
      <c r="C40" s="9"/>
      <c r="D40" s="9"/>
      <c r="E40" s="9"/>
      <c r="F40" s="9"/>
      <c r="G40" s="5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ht="12.75" customHeight="1">
      <c r="A41" s="9"/>
      <c r="B41" s="5"/>
      <c r="C41" s="9"/>
      <c r="D41" s="9"/>
      <c r="E41" s="9"/>
      <c r="F41" s="9"/>
      <c r="G41" s="64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ht="12.75" customHeight="1">
      <c r="A42" s="9"/>
      <c r="B42" s="5"/>
      <c r="C42" s="9"/>
      <c r="D42" s="9"/>
      <c r="E42" s="9"/>
      <c r="F42" s="9"/>
      <c r="G42" s="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ht="12.75" customHeight="1">
      <c r="A43" s="9"/>
      <c r="B43" s="5"/>
      <c r="C43" s="9"/>
      <c r="D43" s="9"/>
      <c r="E43" s="9"/>
      <c r="F43" s="9"/>
      <c r="G43" s="5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ht="12.75" customHeight="1">
      <c r="A44" s="9"/>
      <c r="B44" s="5"/>
      <c r="C44" s="9"/>
      <c r="D44" s="9"/>
      <c r="E44" s="9"/>
      <c r="F44" s="9"/>
      <c r="G44" s="5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ht="12.75" customHeight="1">
      <c r="A45" s="9"/>
      <c r="B45" s="5"/>
      <c r="C45" s="9"/>
      <c r="D45" s="9"/>
      <c r="E45" s="9"/>
      <c r="F45" s="9"/>
      <c r="G45" s="5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ht="12.75" customHeight="1">
      <c r="A46" s="9"/>
      <c r="B46" s="5"/>
      <c r="C46" s="9"/>
      <c r="D46" s="9"/>
      <c r="E46" s="9"/>
      <c r="F46" s="9"/>
      <c r="G46" s="5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ht="12.75" customHeight="1">
      <c r="A47" s="9"/>
      <c r="B47" s="5"/>
      <c r="C47" s="9"/>
      <c r="D47" s="9"/>
      <c r="E47" s="9"/>
      <c r="F47" s="9"/>
      <c r="G47" s="5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ht="12.75" customHeight="1">
      <c r="A48" s="9"/>
      <c r="B48" s="5"/>
      <c r="C48" s="9"/>
      <c r="D48" s="9"/>
      <c r="E48" s="9"/>
      <c r="F48" s="9"/>
      <c r="G48" s="5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ht="12.75" customHeight="1">
      <c r="A49" s="9"/>
      <c r="B49" s="5"/>
      <c r="C49" s="9"/>
      <c r="D49" s="9"/>
      <c r="E49" s="9"/>
      <c r="F49" s="9"/>
      <c r="G49" s="5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ht="12.75" customHeight="1">
      <c r="A50" s="9"/>
      <c r="B50" s="5"/>
      <c r="C50" s="9"/>
      <c r="D50" s="9"/>
      <c r="E50" s="9"/>
      <c r="F50" s="9"/>
      <c r="G50" s="5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ht="12.75" customHeight="1">
      <c r="A51" s="9"/>
      <c r="B51" s="5"/>
      <c r="C51" s="9"/>
      <c r="D51" s="9"/>
      <c r="E51" s="9"/>
      <c r="F51" s="9"/>
      <c r="G51" s="5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ht="12.75" customHeight="1">
      <c r="A52" s="11"/>
      <c r="B52" s="11"/>
      <c r="C52" s="11"/>
      <c r="D52" s="11"/>
      <c r="E52" s="11"/>
      <c r="F52" s="11"/>
      <c r="G52" s="5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ht="12.75" customHeight="1">
      <c r="A53" s="9"/>
      <c r="B53" s="5"/>
      <c r="C53" s="9"/>
      <c r="D53" s="9"/>
      <c r="E53" s="9"/>
      <c r="F53" s="9"/>
      <c r="G53" s="5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ht="12.75" customHeight="1">
      <c r="A54" s="9"/>
      <c r="B54" s="5"/>
      <c r="C54" s="9"/>
      <c r="D54" s="9"/>
      <c r="E54" s="9"/>
      <c r="F54" s="9"/>
      <c r="G54" s="5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ht="12.75" customHeight="1">
      <c r="A55" s="9"/>
      <c r="B55" s="5"/>
      <c r="C55" s="9"/>
      <c r="D55" s="9"/>
      <c r="E55" s="9"/>
      <c r="F55" s="9"/>
      <c r="G55" s="5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ht="12.75" customHeight="1">
      <c r="A56" s="9"/>
      <c r="B56" s="5"/>
      <c r="C56" s="9"/>
      <c r="D56" s="9"/>
      <c r="E56" s="9"/>
      <c r="F56" s="9"/>
      <c r="G56" s="5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ht="12.75" customHeight="1">
      <c r="A57" s="9"/>
      <c r="B57" s="5"/>
      <c r="C57" s="9"/>
      <c r="D57" s="9"/>
      <c r="E57" s="9"/>
      <c r="F57" s="9"/>
      <c r="G57" s="5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ht="12.75" customHeight="1">
      <c r="A58" s="9"/>
      <c r="B58" s="5"/>
      <c r="C58" s="9"/>
      <c r="D58" s="9"/>
      <c r="E58" s="9"/>
      <c r="F58" s="9"/>
      <c r="G58" s="5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ht="12.75" customHeight="1">
      <c r="A59" s="9"/>
      <c r="B59" s="5"/>
      <c r="C59" s="9"/>
      <c r="D59" s="9"/>
      <c r="E59" s="9"/>
      <c r="F59" s="9"/>
      <c r="G59" s="5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ht="12.75" customHeight="1">
      <c r="A60" s="9"/>
      <c r="B60" s="5"/>
      <c r="C60" s="9"/>
      <c r="D60" s="9"/>
      <c r="E60" s="9"/>
      <c r="F60" s="9"/>
      <c r="G60" s="5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ht="12.75" customHeight="1">
      <c r="A61" s="9"/>
      <c r="B61" s="5"/>
      <c r="C61" s="9"/>
      <c r="D61" s="9"/>
      <c r="E61" s="9"/>
      <c r="F61" s="9"/>
      <c r="G61" s="5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ht="12.75" customHeight="1">
      <c r="A62" s="9"/>
      <c r="B62" s="5"/>
      <c r="C62" s="9"/>
      <c r="D62" s="9"/>
      <c r="E62" s="9"/>
      <c r="F62" s="9"/>
      <c r="G62" s="5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ht="12.75" customHeight="1">
      <c r="A63" s="9"/>
      <c r="B63" s="5"/>
      <c r="C63" s="9"/>
      <c r="D63" s="9"/>
      <c r="E63" s="9"/>
      <c r="F63" s="9"/>
      <c r="G63" s="5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ht="12.75" customHeight="1">
      <c r="A64" s="9"/>
      <c r="B64" s="5"/>
      <c r="C64" s="9"/>
      <c r="D64" s="9"/>
      <c r="E64" s="9"/>
      <c r="F64" s="9"/>
      <c r="G64" s="5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ht="12.75" customHeight="1">
      <c r="A65" s="9"/>
      <c r="B65" s="5"/>
      <c r="C65" s="9"/>
      <c r="D65" s="9"/>
      <c r="E65" s="9"/>
      <c r="F65" s="9"/>
      <c r="G65" s="5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ht="12.75" customHeight="1">
      <c r="A66" s="9"/>
      <c r="B66" s="5"/>
      <c r="C66" s="9"/>
      <c r="D66" s="9"/>
      <c r="E66" s="9"/>
      <c r="F66" s="9"/>
      <c r="G66" s="5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ht="12.75" customHeight="1">
      <c r="A67" s="9"/>
      <c r="B67" s="5"/>
      <c r="C67" s="9"/>
      <c r="D67" s="9"/>
      <c r="E67" s="9"/>
      <c r="F67" s="9"/>
      <c r="G67" s="5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ht="12.75" customHeight="1">
      <c r="A68" s="9"/>
      <c r="B68" s="5"/>
      <c r="C68" s="9"/>
      <c r="D68" s="9"/>
      <c r="E68" s="9"/>
      <c r="F68" s="9"/>
      <c r="G68" s="5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ht="12.75" customHeight="1">
      <c r="A69" s="9"/>
      <c r="B69" s="5"/>
      <c r="C69" s="9"/>
      <c r="D69" s="9"/>
      <c r="E69" s="9"/>
      <c r="F69" s="9"/>
      <c r="G69" s="5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ht="12.75" customHeight="1">
      <c r="A70" s="9"/>
      <c r="B70" s="5"/>
      <c r="C70" s="9"/>
      <c r="D70" s="9"/>
      <c r="E70" s="9"/>
      <c r="F70" s="9"/>
      <c r="G70" s="5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ht="12.75" customHeight="1">
      <c r="A71" s="9"/>
      <c r="B71" s="5"/>
      <c r="C71" s="9"/>
      <c r="D71" s="9"/>
      <c r="E71" s="9"/>
      <c r="F71" s="9"/>
      <c r="G71" s="5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ht="12.75" customHeight="1">
      <c r="A72" s="9"/>
      <c r="B72" s="5"/>
      <c r="C72" s="9"/>
      <c r="D72" s="9"/>
      <c r="E72" s="9"/>
      <c r="F72" s="9"/>
      <c r="G72" s="5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ht="12.75" customHeight="1">
      <c r="A73" s="9"/>
      <c r="B73" s="5"/>
      <c r="C73" s="9"/>
      <c r="D73" s="9"/>
      <c r="E73" s="9"/>
      <c r="F73" s="9"/>
      <c r="G73" s="5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ht="12.75" customHeight="1">
      <c r="A74" s="9"/>
      <c r="B74" s="5"/>
      <c r="C74" s="9"/>
      <c r="D74" s="9"/>
      <c r="E74" s="9"/>
      <c r="F74" s="9"/>
      <c r="G74" s="5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ht="12.75" customHeight="1">
      <c r="A75" s="9"/>
      <c r="B75" s="5"/>
      <c r="C75" s="9"/>
      <c r="D75" s="9"/>
      <c r="E75" s="9"/>
      <c r="F75" s="9"/>
      <c r="G75" s="5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ht="12.75" customHeight="1">
      <c r="A76" s="9"/>
      <c r="B76" s="5"/>
      <c r="C76" s="9"/>
      <c r="D76" s="9"/>
      <c r="E76" s="9"/>
      <c r="F76" s="9"/>
      <c r="G76" s="5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ht="12.75" customHeight="1">
      <c r="A77" s="9"/>
      <c r="B77" s="5"/>
      <c r="C77" s="9"/>
      <c r="D77" s="9"/>
      <c r="E77" s="9"/>
      <c r="F77" s="9"/>
      <c r="G77" s="5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ht="12.75" customHeight="1">
      <c r="A78" s="9"/>
      <c r="B78" s="5"/>
      <c r="C78" s="9"/>
      <c r="D78" s="9"/>
      <c r="E78" s="9"/>
      <c r="F78" s="9"/>
      <c r="G78" s="5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ht="12.75" customHeight="1">
      <c r="A79" s="9"/>
      <c r="B79" s="5"/>
      <c r="C79" s="9"/>
      <c r="D79" s="9"/>
      <c r="E79" s="9"/>
      <c r="F79" s="9"/>
      <c r="G79" s="5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ht="12.75" customHeight="1">
      <c r="A80" s="9"/>
      <c r="B80" s="5"/>
      <c r="C80" s="9"/>
      <c r="D80" s="9"/>
      <c r="E80" s="9"/>
      <c r="F80" s="9"/>
      <c r="G80" s="5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ht="12.75" customHeight="1">
      <c r="A81" s="9"/>
      <c r="B81" s="5"/>
      <c r="C81" s="9"/>
      <c r="D81" s="9"/>
      <c r="E81" s="9"/>
      <c r="F81" s="9"/>
      <c r="G81" s="5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ht="12.75" customHeight="1">
      <c r="A82" s="9"/>
      <c r="B82" s="5"/>
      <c r="C82" s="9"/>
      <c r="D82" s="9"/>
      <c r="E82" s="9"/>
      <c r="F82" s="9"/>
      <c r="G82" s="5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ht="12.75" customHeight="1">
      <c r="A83" s="9"/>
      <c r="B83" s="5"/>
      <c r="C83" s="9"/>
      <c r="D83" s="9"/>
      <c r="E83" s="9"/>
      <c r="F83" s="9"/>
      <c r="G83" s="5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ht="12.75" customHeight="1">
      <c r="A84" s="9"/>
      <c r="B84" s="5"/>
      <c r="C84" s="9"/>
      <c r="D84" s="9"/>
      <c r="E84" s="9"/>
      <c r="F84" s="9"/>
      <c r="G84" s="5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ht="12.75" customHeight="1">
      <c r="A85" s="9"/>
      <c r="B85" s="5"/>
      <c r="C85" s="9"/>
      <c r="D85" s="9"/>
      <c r="E85" s="9"/>
      <c r="F85" s="9"/>
      <c r="G85" s="5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ht="12.75" customHeight="1">
      <c r="A86" s="9"/>
      <c r="B86" s="5"/>
      <c r="C86" s="9"/>
      <c r="D86" s="9"/>
      <c r="E86" s="9"/>
      <c r="F86" s="9"/>
      <c r="G86" s="5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ht="12.75" customHeight="1">
      <c r="A87" s="9"/>
      <c r="B87" s="5"/>
      <c r="C87" s="9"/>
      <c r="D87" s="9"/>
      <c r="E87" s="9"/>
      <c r="F87" s="9"/>
      <c r="G87" s="5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ht="12.75" customHeight="1">
      <c r="A88" s="9"/>
      <c r="B88" s="5"/>
      <c r="C88" s="9"/>
      <c r="D88" s="9"/>
      <c r="E88" s="9"/>
      <c r="F88" s="9"/>
      <c r="G88" s="5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ht="12.75" customHeight="1">
      <c r="A89" s="9"/>
      <c r="B89" s="5"/>
      <c r="C89" s="9"/>
      <c r="D89" s="9"/>
      <c r="E89" s="9"/>
      <c r="F89" s="9"/>
      <c r="G89" s="5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ht="12.75" customHeight="1">
      <c r="A90" s="9"/>
      <c r="B90" s="5"/>
      <c r="C90" s="9"/>
      <c r="D90" s="9"/>
      <c r="E90" s="9"/>
      <c r="F90" s="9"/>
      <c r="G90" s="5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ht="12.75" customHeight="1">
      <c r="A91" s="9"/>
      <c r="B91" s="5"/>
      <c r="C91" s="9"/>
      <c r="D91" s="9"/>
      <c r="E91" s="9"/>
      <c r="F91" s="9"/>
      <c r="G91" s="5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ht="12.75" customHeight="1">
      <c r="A92" s="9"/>
      <c r="B92" s="5"/>
      <c r="C92" s="9"/>
      <c r="D92" s="9"/>
      <c r="E92" s="9"/>
      <c r="F92" s="9"/>
      <c r="G92" s="5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ht="12.75" customHeight="1">
      <c r="A93" s="9"/>
      <c r="B93" s="5"/>
      <c r="C93" s="9"/>
      <c r="D93" s="9"/>
      <c r="E93" s="9"/>
      <c r="F93" s="9"/>
      <c r="G93" s="5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ht="12.75" customHeight="1">
      <c r="A94" s="9"/>
      <c r="B94" s="5"/>
      <c r="C94" s="9"/>
      <c r="D94" s="9"/>
      <c r="E94" s="9"/>
      <c r="F94" s="9"/>
      <c r="G94" s="5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ht="12.75" customHeight="1">
      <c r="A95" s="9"/>
      <c r="B95" s="5"/>
      <c r="C95" s="9"/>
      <c r="D95" s="9"/>
      <c r="E95" s="9"/>
      <c r="F95" s="9"/>
      <c r="G95" s="5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ht="12.75" customHeight="1">
      <c r="A96" s="9"/>
      <c r="B96" s="5"/>
      <c r="C96" s="9"/>
      <c r="D96" s="9"/>
      <c r="E96" s="9"/>
      <c r="F96" s="9"/>
      <c r="G96" s="5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ht="12.75" customHeight="1">
      <c r="A97" s="9"/>
      <c r="B97" s="5"/>
      <c r="C97" s="9"/>
      <c r="D97" s="9"/>
      <c r="E97" s="9"/>
      <c r="F97" s="9"/>
      <c r="G97" s="5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ht="12.75" customHeight="1">
      <c r="A98" s="9"/>
      <c r="B98" s="5"/>
      <c r="C98" s="9"/>
      <c r="D98" s="9"/>
      <c r="E98" s="9"/>
      <c r="F98" s="9"/>
      <c r="G98" s="5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ht="12.75" customHeight="1">
      <c r="A99" s="9"/>
      <c r="B99" s="5"/>
      <c r="C99" s="9"/>
      <c r="D99" s="9"/>
      <c r="E99" s="9"/>
      <c r="F99" s="9"/>
      <c r="G99" s="5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ht="12.75" customHeight="1">
      <c r="A100" s="9"/>
      <c r="B100" s="5"/>
      <c r="C100" s="9"/>
      <c r="D100" s="9"/>
      <c r="E100" s="9"/>
      <c r="F100" s="9"/>
      <c r="G100" s="5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ht="12.75" customHeight="1">
      <c r="A101" s="9"/>
      <c r="B101" s="5"/>
      <c r="C101" s="9"/>
      <c r="D101" s="9"/>
      <c r="E101" s="9"/>
      <c r="F101" s="9"/>
      <c r="G101" s="5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ht="12.75" customHeight="1">
      <c r="A102" s="9"/>
      <c r="B102" s="5"/>
      <c r="C102" s="9"/>
      <c r="D102" s="9"/>
      <c r="E102" s="9"/>
      <c r="F102" s="9"/>
      <c r="G102" s="5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ht="12.75" customHeight="1">
      <c r="A103" s="9"/>
      <c r="B103" s="5"/>
      <c r="C103" s="9"/>
      <c r="D103" s="9"/>
      <c r="E103" s="9"/>
      <c r="F103" s="9"/>
      <c r="G103" s="5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ht="12.75" customHeight="1">
      <c r="A104" s="9"/>
      <c r="B104" s="5"/>
      <c r="C104" s="9"/>
      <c r="D104" s="9"/>
      <c r="E104" s="9"/>
      <c r="F104" s="9"/>
      <c r="G104" s="5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ht="12.75" customHeight="1">
      <c r="A105" s="9"/>
      <c r="B105" s="5"/>
      <c r="C105" s="9"/>
      <c r="D105" s="9"/>
      <c r="E105" s="9"/>
      <c r="F105" s="9"/>
      <c r="G105" s="5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ht="12.75" customHeight="1">
      <c r="A106" s="9"/>
      <c r="B106" s="5"/>
      <c r="C106" s="9"/>
      <c r="D106" s="9"/>
      <c r="E106" s="9"/>
      <c r="F106" s="9"/>
      <c r="G106" s="5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ht="12.75" customHeight="1">
      <c r="A107" s="9"/>
      <c r="B107" s="5"/>
      <c r="C107" s="9"/>
      <c r="D107" s="9"/>
      <c r="E107" s="9"/>
      <c r="F107" s="9"/>
      <c r="G107" s="5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ht="12.75" customHeight="1">
      <c r="A108" s="9"/>
      <c r="B108" s="5"/>
      <c r="C108" s="9"/>
      <c r="D108" s="9"/>
      <c r="E108" s="9"/>
      <c r="F108" s="9"/>
      <c r="G108" s="5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ht="12.75" customHeight="1">
      <c r="A109" s="9"/>
      <c r="B109" s="5"/>
      <c r="C109" s="9"/>
      <c r="D109" s="9"/>
      <c r="E109" s="9"/>
      <c r="F109" s="9"/>
      <c r="G109" s="5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ht="12.75" customHeight="1">
      <c r="A110" s="9"/>
      <c r="B110" s="5"/>
      <c r="C110" s="9"/>
      <c r="D110" s="9"/>
      <c r="E110" s="9"/>
      <c r="F110" s="9"/>
      <c r="G110" s="5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ht="12.75" customHeight="1">
      <c r="A111" s="9"/>
      <c r="B111" s="5"/>
      <c r="C111" s="9"/>
      <c r="D111" s="9"/>
      <c r="E111" s="9"/>
      <c r="F111" s="9"/>
      <c r="G111" s="5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ht="12.75" customHeight="1">
      <c r="A112" s="9"/>
      <c r="B112" s="5"/>
      <c r="C112" s="9"/>
      <c r="D112" s="9"/>
      <c r="E112" s="9"/>
      <c r="F112" s="9"/>
      <c r="G112" s="5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ht="12.75" customHeight="1">
      <c r="A113" s="9"/>
      <c r="B113" s="5"/>
      <c r="C113" s="9"/>
      <c r="D113" s="9"/>
      <c r="E113" s="9"/>
      <c r="F113" s="9"/>
      <c r="G113" s="5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ht="12.75" customHeight="1">
      <c r="A114" s="9"/>
      <c r="B114" s="5"/>
      <c r="C114" s="9"/>
      <c r="D114" s="9"/>
      <c r="E114" s="9"/>
      <c r="F114" s="9"/>
      <c r="G114" s="5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ht="12.75" customHeight="1">
      <c r="A115" s="9"/>
      <c r="B115" s="5"/>
      <c r="C115" s="9"/>
      <c r="D115" s="9"/>
      <c r="E115" s="9"/>
      <c r="F115" s="9"/>
      <c r="G115" s="5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ht="12.75" customHeight="1">
      <c r="A116" s="9"/>
      <c r="B116" s="5"/>
      <c r="C116" s="9"/>
      <c r="D116" s="9"/>
      <c r="E116" s="9"/>
      <c r="F116" s="9"/>
      <c r="G116" s="5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ht="12.75" customHeight="1">
      <c r="A117" s="9"/>
      <c r="B117" s="5"/>
      <c r="C117" s="9"/>
      <c r="D117" s="9"/>
      <c r="E117" s="9"/>
      <c r="F117" s="9"/>
      <c r="G117" s="5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ht="12.75" customHeight="1">
      <c r="A118" s="9"/>
      <c r="B118" s="5"/>
      <c r="C118" s="9"/>
      <c r="D118" s="9"/>
      <c r="E118" s="9"/>
      <c r="F118" s="9"/>
      <c r="G118" s="5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ht="12.75" customHeight="1">
      <c r="A119" s="9"/>
      <c r="B119" s="5"/>
      <c r="C119" s="9"/>
      <c r="D119" s="9"/>
      <c r="E119" s="9"/>
      <c r="F119" s="9"/>
      <c r="G119" s="5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ht="12.75" customHeight="1">
      <c r="A120" s="9"/>
      <c r="B120" s="5"/>
      <c r="C120" s="9"/>
      <c r="D120" s="9"/>
      <c r="E120" s="9"/>
      <c r="F120" s="9"/>
      <c r="G120" s="5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ht="12.75" customHeight="1">
      <c r="A121" s="9"/>
      <c r="B121" s="5"/>
      <c r="C121" s="9"/>
      <c r="D121" s="9"/>
      <c r="E121" s="9"/>
      <c r="F121" s="9"/>
      <c r="G121" s="5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ht="12.75" customHeight="1">
      <c r="A122" s="9"/>
      <c r="B122" s="5"/>
      <c r="C122" s="9"/>
      <c r="D122" s="9"/>
      <c r="E122" s="9"/>
      <c r="F122" s="9"/>
      <c r="G122" s="5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ht="12.75" customHeight="1">
      <c r="A123" s="9"/>
      <c r="B123" s="5"/>
      <c r="C123" s="9"/>
      <c r="D123" s="9"/>
      <c r="E123" s="9"/>
      <c r="F123" s="9"/>
      <c r="G123" s="5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ht="12.75" customHeight="1">
      <c r="A124" s="9"/>
      <c r="B124" s="5"/>
      <c r="C124" s="9"/>
      <c r="D124" s="9"/>
      <c r="E124" s="9"/>
      <c r="F124" s="9"/>
      <c r="G124" s="5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ht="12.75" customHeight="1">
      <c r="A125" s="9"/>
      <c r="B125" s="5"/>
      <c r="C125" s="9"/>
      <c r="D125" s="9"/>
      <c r="E125" s="9"/>
      <c r="F125" s="9"/>
      <c r="G125" s="5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ht="12.75" customHeight="1">
      <c r="A126" s="9"/>
      <c r="B126" s="5"/>
      <c r="C126" s="9"/>
      <c r="D126" s="9"/>
      <c r="E126" s="9"/>
      <c r="F126" s="9"/>
      <c r="G126" s="5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ht="12.75" customHeight="1">
      <c r="A127" s="9"/>
      <c r="B127" s="5"/>
      <c r="C127" s="9"/>
      <c r="D127" s="9"/>
      <c r="E127" s="9"/>
      <c r="F127" s="9"/>
      <c r="G127" s="5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ht="12.75" customHeight="1">
      <c r="A128" s="9"/>
      <c r="B128" s="5"/>
      <c r="C128" s="9"/>
      <c r="D128" s="9"/>
      <c r="E128" s="9"/>
      <c r="F128" s="9"/>
      <c r="G128" s="5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ht="12.75" customHeight="1">
      <c r="A129" s="9"/>
      <c r="B129" s="5"/>
      <c r="C129" s="9"/>
      <c r="D129" s="9"/>
      <c r="E129" s="9"/>
      <c r="F129" s="9"/>
      <c r="G129" s="5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ht="12.75" customHeight="1">
      <c r="A130" s="9"/>
      <c r="B130" s="5"/>
      <c r="C130" s="9"/>
      <c r="D130" s="9"/>
      <c r="E130" s="9"/>
      <c r="F130" s="9"/>
      <c r="G130" s="5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ht="12.75" customHeight="1">
      <c r="A131" s="9"/>
      <c r="B131" s="5"/>
      <c r="C131" s="9"/>
      <c r="D131" s="9"/>
      <c r="E131" s="9"/>
      <c r="F131" s="9"/>
      <c r="G131" s="5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ht="12.75" customHeight="1">
      <c r="A132" s="9"/>
      <c r="B132" s="5"/>
      <c r="C132" s="9"/>
      <c r="D132" s="9"/>
      <c r="E132" s="9"/>
      <c r="F132" s="9"/>
      <c r="G132" s="5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ht="12.75" customHeight="1">
      <c r="A133" s="9"/>
      <c r="B133" s="5"/>
      <c r="C133" s="9"/>
      <c r="D133" s="9"/>
      <c r="E133" s="9"/>
      <c r="F133" s="9"/>
      <c r="G133" s="5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ht="12.75" customHeight="1">
      <c r="A134" s="9"/>
      <c r="B134" s="5"/>
      <c r="C134" s="9"/>
      <c r="D134" s="9"/>
      <c r="E134" s="9"/>
      <c r="F134" s="9"/>
      <c r="G134" s="5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ht="12.75" customHeight="1">
      <c r="A135" s="9"/>
      <c r="B135" s="5"/>
      <c r="C135" s="9"/>
      <c r="D135" s="9"/>
      <c r="E135" s="9"/>
      <c r="F135" s="9"/>
      <c r="G135" s="5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ht="12.75" customHeight="1">
      <c r="A136" s="9"/>
      <c r="B136" s="5"/>
      <c r="C136" s="9"/>
      <c r="D136" s="9"/>
      <c r="E136" s="9"/>
      <c r="F136" s="9"/>
      <c r="G136" s="5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ht="12.75" customHeight="1">
      <c r="A137" s="9"/>
      <c r="B137" s="5"/>
      <c r="C137" s="9"/>
      <c r="D137" s="9"/>
      <c r="E137" s="9"/>
      <c r="F137" s="9"/>
      <c r="G137" s="5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ht="12.75" customHeight="1">
      <c r="A138" s="9"/>
      <c r="B138" s="5"/>
      <c r="C138" s="9"/>
      <c r="D138" s="9"/>
      <c r="E138" s="9"/>
      <c r="F138" s="9"/>
      <c r="G138" s="5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ht="12.75" customHeight="1">
      <c r="A139" s="9"/>
      <c r="B139" s="5"/>
      <c r="C139" s="9"/>
      <c r="D139" s="9"/>
      <c r="E139" s="9"/>
      <c r="F139" s="9"/>
      <c r="G139" s="5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ht="12.75" customHeight="1">
      <c r="A140" s="9"/>
      <c r="B140" s="5"/>
      <c r="C140" s="9"/>
      <c r="D140" s="9"/>
      <c r="E140" s="9"/>
      <c r="F140" s="9"/>
      <c r="G140" s="5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ht="12.75" customHeight="1">
      <c r="A141" s="9"/>
      <c r="B141" s="5"/>
      <c r="C141" s="9"/>
      <c r="D141" s="9"/>
      <c r="E141" s="9"/>
      <c r="F141" s="9"/>
      <c r="G141" s="5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ht="12.75" customHeight="1">
      <c r="A142" s="9"/>
      <c r="B142" s="5"/>
      <c r="C142" s="9"/>
      <c r="D142" s="9"/>
      <c r="E142" s="9"/>
      <c r="F142" s="9"/>
      <c r="G142" s="5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ht="12.75" customHeight="1">
      <c r="A143" s="9"/>
      <c r="B143" s="5"/>
      <c r="C143" s="9"/>
      <c r="D143" s="9"/>
      <c r="E143" s="9"/>
      <c r="F143" s="9"/>
      <c r="G143" s="5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ht="12.75" customHeight="1">
      <c r="A144" s="9"/>
      <c r="B144" s="5"/>
      <c r="C144" s="9"/>
      <c r="D144" s="9"/>
      <c r="E144" s="9"/>
      <c r="F144" s="9"/>
      <c r="G144" s="5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ht="12.75" customHeight="1">
      <c r="A145" s="9"/>
      <c r="B145" s="5"/>
      <c r="C145" s="9"/>
      <c r="D145" s="9"/>
      <c r="E145" s="9"/>
      <c r="F145" s="9"/>
      <c r="G145" s="5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ht="12.75" customHeight="1">
      <c r="A146" s="9"/>
      <c r="B146" s="5"/>
      <c r="C146" s="9"/>
      <c r="D146" s="9"/>
      <c r="E146" s="9"/>
      <c r="F146" s="9"/>
      <c r="G146" s="5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ht="12.75" customHeight="1">
      <c r="A147" s="9"/>
      <c r="B147" s="5"/>
      <c r="C147" s="9"/>
      <c r="D147" s="9"/>
      <c r="E147" s="9"/>
      <c r="F147" s="9"/>
      <c r="G147" s="5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ht="12.75" customHeight="1">
      <c r="A148" s="9"/>
      <c r="B148" s="5"/>
      <c r="C148" s="9"/>
      <c r="D148" s="9"/>
      <c r="E148" s="9"/>
      <c r="F148" s="9"/>
      <c r="G148" s="5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ht="12.75" customHeight="1">
      <c r="A149" s="9"/>
      <c r="B149" s="5"/>
      <c r="C149" s="9"/>
      <c r="D149" s="9"/>
      <c r="E149" s="9"/>
      <c r="F149" s="9"/>
      <c r="G149" s="5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ht="12.75" customHeight="1">
      <c r="A150" s="9"/>
      <c r="B150" s="5"/>
      <c r="C150" s="9"/>
      <c r="D150" s="9"/>
      <c r="E150" s="9"/>
      <c r="F150" s="9"/>
      <c r="G150" s="5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ht="12.75" customHeight="1">
      <c r="A151" s="9"/>
      <c r="B151" s="5"/>
      <c r="C151" s="9"/>
      <c r="D151" s="9"/>
      <c r="E151" s="9"/>
      <c r="F151" s="9"/>
      <c r="G151" s="5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ht="12.75" customHeight="1">
      <c r="A152" s="9"/>
      <c r="B152" s="5"/>
      <c r="C152" s="9"/>
      <c r="D152" s="9"/>
      <c r="E152" s="9"/>
      <c r="F152" s="9"/>
      <c r="G152" s="5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ht="12.75" customHeight="1">
      <c r="A153" s="9"/>
      <c r="B153" s="5"/>
      <c r="C153" s="9"/>
      <c r="D153" s="9"/>
      <c r="E153" s="9"/>
      <c r="F153" s="9"/>
      <c r="G153" s="5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ht="12.75" customHeight="1">
      <c r="A154" s="9"/>
      <c r="B154" s="5"/>
      <c r="C154" s="9"/>
      <c r="D154" s="9"/>
      <c r="E154" s="9"/>
      <c r="F154" s="9"/>
      <c r="G154" s="5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ht="12.75" customHeight="1">
      <c r="A155" s="9"/>
      <c r="B155" s="5"/>
      <c r="C155" s="9"/>
      <c r="D155" s="9"/>
      <c r="E155" s="9"/>
      <c r="F155" s="9"/>
      <c r="G155" s="5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ht="12.75" customHeight="1">
      <c r="A156" s="9"/>
      <c r="B156" s="5"/>
      <c r="C156" s="9"/>
      <c r="D156" s="9"/>
      <c r="E156" s="9"/>
      <c r="F156" s="9"/>
      <c r="G156" s="5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ht="12.75" customHeight="1">
      <c r="A157" s="9"/>
      <c r="B157" s="5"/>
      <c r="C157" s="9"/>
      <c r="D157" s="9"/>
      <c r="E157" s="9"/>
      <c r="F157" s="9"/>
      <c r="G157" s="5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ht="12.75" customHeight="1">
      <c r="A158" s="9"/>
      <c r="B158" s="5"/>
      <c r="C158" s="9"/>
      <c r="D158" s="9"/>
      <c r="E158" s="9"/>
      <c r="F158" s="9"/>
      <c r="G158" s="5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ht="12.75" customHeight="1">
      <c r="A159" s="9"/>
      <c r="B159" s="5"/>
      <c r="C159" s="9"/>
      <c r="D159" s="9"/>
      <c r="E159" s="9"/>
      <c r="F159" s="9"/>
      <c r="G159" s="5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ht="12.75" customHeight="1">
      <c r="A160" s="9"/>
      <c r="B160" s="5"/>
      <c r="C160" s="9"/>
      <c r="D160" s="9"/>
      <c r="E160" s="9"/>
      <c r="F160" s="9"/>
      <c r="G160" s="5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ht="12.75" customHeight="1">
      <c r="A161" s="9"/>
      <c r="B161" s="5"/>
      <c r="C161" s="9"/>
      <c r="D161" s="9"/>
      <c r="E161" s="9"/>
      <c r="F161" s="9"/>
      <c r="G161" s="5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ht="12.75" customHeight="1">
      <c r="A162" s="9"/>
      <c r="B162" s="5"/>
      <c r="C162" s="9"/>
      <c r="D162" s="9"/>
      <c r="E162" s="9"/>
      <c r="F162" s="9"/>
      <c r="G162" s="5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ht="12.75" customHeight="1">
      <c r="A163" s="9"/>
      <c r="B163" s="5"/>
      <c r="C163" s="9"/>
      <c r="D163" s="9"/>
      <c r="E163" s="9"/>
      <c r="F163" s="9"/>
      <c r="G163" s="5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ht="12.75" customHeight="1">
      <c r="A164" s="9"/>
      <c r="B164" s="5"/>
      <c r="C164" s="9"/>
      <c r="D164" s="9"/>
      <c r="E164" s="9"/>
      <c r="F164" s="9"/>
      <c r="G164" s="5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ht="12.75" customHeight="1">
      <c r="A165" s="9"/>
      <c r="B165" s="5"/>
      <c r="C165" s="9"/>
      <c r="D165" s="9"/>
      <c r="E165" s="9"/>
      <c r="F165" s="9"/>
      <c r="G165" s="5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ht="12.75" customHeight="1">
      <c r="A166" s="9"/>
      <c r="B166" s="5"/>
      <c r="C166" s="9"/>
      <c r="D166" s="9"/>
      <c r="E166" s="9"/>
      <c r="F166" s="9"/>
      <c r="G166" s="5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ht="12.75" customHeight="1">
      <c r="A167" s="9"/>
      <c r="B167" s="5"/>
      <c r="C167" s="9"/>
      <c r="D167" s="9"/>
      <c r="E167" s="9"/>
      <c r="F167" s="9"/>
      <c r="G167" s="5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ht="12.75" customHeight="1">
      <c r="A168" s="9"/>
      <c r="B168" s="5"/>
      <c r="C168" s="9"/>
      <c r="D168" s="9"/>
      <c r="E168" s="9"/>
      <c r="F168" s="9"/>
      <c r="G168" s="5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ht="12.75" customHeight="1">
      <c r="A169" s="9"/>
      <c r="B169" s="5"/>
      <c r="C169" s="9"/>
      <c r="D169" s="9"/>
      <c r="E169" s="9"/>
      <c r="F169" s="9"/>
      <c r="G169" s="5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ht="12.75" customHeight="1">
      <c r="A170" s="9"/>
      <c r="B170" s="5"/>
      <c r="C170" s="9"/>
      <c r="D170" s="9"/>
      <c r="E170" s="9"/>
      <c r="F170" s="9"/>
      <c r="G170" s="5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ht="12.75" customHeight="1">
      <c r="A171" s="9"/>
      <c r="B171" s="5"/>
      <c r="C171" s="9"/>
      <c r="D171" s="9"/>
      <c r="E171" s="9"/>
      <c r="F171" s="9"/>
      <c r="G171" s="5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ht="12.75" customHeight="1">
      <c r="A172" s="9"/>
      <c r="B172" s="5"/>
      <c r="C172" s="9"/>
      <c r="D172" s="9"/>
      <c r="E172" s="9"/>
      <c r="F172" s="9"/>
      <c r="G172" s="5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ht="12.75" customHeight="1">
      <c r="A173" s="9"/>
      <c r="B173" s="5"/>
      <c r="C173" s="9"/>
      <c r="D173" s="9"/>
      <c r="E173" s="9"/>
      <c r="F173" s="9"/>
      <c r="G173" s="5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ht="12.75" customHeight="1">
      <c r="A174" s="9"/>
      <c r="B174" s="5"/>
      <c r="C174" s="9"/>
      <c r="D174" s="9"/>
      <c r="E174" s="9"/>
      <c r="F174" s="9"/>
      <c r="G174" s="5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ht="12.75" customHeight="1">
      <c r="A175" s="9"/>
      <c r="B175" s="5"/>
      <c r="C175" s="9"/>
      <c r="D175" s="9"/>
      <c r="E175" s="9"/>
      <c r="F175" s="9"/>
      <c r="G175" s="5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ht="12.75" customHeight="1">
      <c r="A176" s="9"/>
      <c r="B176" s="5"/>
      <c r="C176" s="9"/>
      <c r="D176" s="9"/>
      <c r="E176" s="9"/>
      <c r="F176" s="9"/>
      <c r="G176" s="5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ht="12.75" customHeight="1">
      <c r="A177" s="9"/>
      <c r="B177" s="5"/>
      <c r="C177" s="9"/>
      <c r="D177" s="9"/>
      <c r="E177" s="9"/>
      <c r="F177" s="9"/>
      <c r="G177" s="5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ht="12.75" customHeight="1">
      <c r="A178" s="9"/>
      <c r="B178" s="5"/>
      <c r="C178" s="9"/>
      <c r="D178" s="9"/>
      <c r="E178" s="9"/>
      <c r="F178" s="9"/>
      <c r="G178" s="5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ht="12.75" customHeight="1">
      <c r="A179" s="9"/>
      <c r="B179" s="5"/>
      <c r="C179" s="9"/>
      <c r="D179" s="9"/>
      <c r="E179" s="9"/>
      <c r="F179" s="9"/>
      <c r="G179" s="5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ht="12.75" customHeight="1">
      <c r="A180" s="9"/>
      <c r="B180" s="5"/>
      <c r="C180" s="9"/>
      <c r="D180" s="9"/>
      <c r="E180" s="9"/>
      <c r="F180" s="9"/>
      <c r="G180" s="5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ht="12.75" customHeight="1">
      <c r="A181" s="9"/>
      <c r="B181" s="5"/>
      <c r="C181" s="9"/>
      <c r="D181" s="9"/>
      <c r="E181" s="9"/>
      <c r="F181" s="9"/>
      <c r="G181" s="5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ht="12.75" customHeight="1">
      <c r="A182" s="9"/>
      <c r="B182" s="5"/>
      <c r="C182" s="9"/>
      <c r="D182" s="9"/>
      <c r="E182" s="9"/>
      <c r="F182" s="9"/>
      <c r="G182" s="5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ht="12.75" customHeight="1">
      <c r="A183" s="9"/>
      <c r="B183" s="5"/>
      <c r="C183" s="9"/>
      <c r="D183" s="9"/>
      <c r="E183" s="9"/>
      <c r="F183" s="9"/>
      <c r="G183" s="5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ht="12.75" customHeight="1">
      <c r="A184" s="9"/>
      <c r="B184" s="5"/>
      <c r="C184" s="9"/>
      <c r="D184" s="9"/>
      <c r="E184" s="9"/>
      <c r="F184" s="9"/>
      <c r="G184" s="5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ht="12.75" customHeight="1">
      <c r="A185" s="9"/>
      <c r="B185" s="5"/>
      <c r="C185" s="9"/>
      <c r="D185" s="9"/>
      <c r="E185" s="9"/>
      <c r="F185" s="9"/>
      <c r="G185" s="5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ht="12.75" customHeight="1">
      <c r="A186" s="9"/>
      <c r="B186" s="5"/>
      <c r="C186" s="9"/>
      <c r="D186" s="9"/>
      <c r="E186" s="9"/>
      <c r="F186" s="9"/>
      <c r="G186" s="5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ht="12.75" customHeight="1">
      <c r="A187" s="9"/>
      <c r="B187" s="5"/>
      <c r="C187" s="9"/>
      <c r="D187" s="9"/>
      <c r="E187" s="9"/>
      <c r="F187" s="9"/>
      <c r="G187" s="5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ht="12.75" customHeight="1">
      <c r="A188" s="9"/>
      <c r="B188" s="5"/>
      <c r="C188" s="9"/>
      <c r="D188" s="9"/>
      <c r="E188" s="9"/>
      <c r="F188" s="9"/>
      <c r="G188" s="5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ht="12.75" customHeight="1">
      <c r="A189" s="9"/>
      <c r="B189" s="5"/>
      <c r="C189" s="9"/>
      <c r="D189" s="9"/>
      <c r="E189" s="9"/>
      <c r="F189" s="9"/>
      <c r="G189" s="5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ht="12.75" customHeight="1">
      <c r="A190" s="9"/>
      <c r="B190" s="5"/>
      <c r="C190" s="9"/>
      <c r="D190" s="9"/>
      <c r="E190" s="9"/>
      <c r="F190" s="9"/>
      <c r="G190" s="5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ht="12.75" customHeight="1">
      <c r="A191" s="9"/>
      <c r="B191" s="5"/>
      <c r="C191" s="9"/>
      <c r="D191" s="9"/>
      <c r="E191" s="9"/>
      <c r="F191" s="9"/>
      <c r="G191" s="5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ht="12.75" customHeight="1">
      <c r="A192" s="9"/>
      <c r="B192" s="5"/>
      <c r="C192" s="9"/>
      <c r="D192" s="9"/>
      <c r="E192" s="9"/>
      <c r="F192" s="9"/>
      <c r="G192" s="5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ht="12.75" customHeight="1">
      <c r="A193" s="9"/>
      <c r="B193" s="5"/>
      <c r="C193" s="9"/>
      <c r="D193" s="9"/>
      <c r="E193" s="9"/>
      <c r="F193" s="9"/>
      <c r="G193" s="5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ht="12.75" customHeight="1">
      <c r="A194" s="9"/>
      <c r="B194" s="5"/>
      <c r="C194" s="9"/>
      <c r="D194" s="9"/>
      <c r="E194" s="9"/>
      <c r="F194" s="9"/>
      <c r="G194" s="5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ht="12.75" customHeight="1">
      <c r="A195" s="9"/>
      <c r="B195" s="5"/>
      <c r="C195" s="9"/>
      <c r="D195" s="9"/>
      <c r="E195" s="9"/>
      <c r="F195" s="9"/>
      <c r="G195" s="5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ht="12.75" customHeight="1">
      <c r="A196" s="9"/>
      <c r="B196" s="5"/>
      <c r="C196" s="9"/>
      <c r="D196" s="9"/>
      <c r="E196" s="9"/>
      <c r="F196" s="9"/>
      <c r="G196" s="5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ht="12.75" customHeight="1">
      <c r="A197" s="9"/>
      <c r="B197" s="5"/>
      <c r="C197" s="9"/>
      <c r="D197" s="9"/>
      <c r="E197" s="9"/>
      <c r="F197" s="9"/>
      <c r="G197" s="5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ht="12.75" customHeight="1">
      <c r="A198" s="9"/>
      <c r="B198" s="5"/>
      <c r="C198" s="9"/>
      <c r="D198" s="9"/>
      <c r="E198" s="9"/>
      <c r="F198" s="9"/>
      <c r="G198" s="5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ht="12.75" customHeight="1">
      <c r="A199" s="9"/>
      <c r="B199" s="5"/>
      <c r="C199" s="9"/>
      <c r="D199" s="9"/>
      <c r="E199" s="9"/>
      <c r="F199" s="9"/>
      <c r="G199" s="5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ht="12.75" customHeight="1">
      <c r="A200" s="9"/>
      <c r="B200" s="5"/>
      <c r="C200" s="9"/>
      <c r="D200" s="9"/>
      <c r="E200" s="9"/>
      <c r="F200" s="9"/>
      <c r="G200" s="5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ht="12.75" customHeight="1">
      <c r="A201" s="9"/>
      <c r="B201" s="5"/>
      <c r="C201" s="9"/>
      <c r="D201" s="9"/>
      <c r="E201" s="9"/>
      <c r="F201" s="9"/>
      <c r="G201" s="5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ht="12.75" customHeight="1">
      <c r="A202" s="9"/>
      <c r="B202" s="5"/>
      <c r="C202" s="9"/>
      <c r="D202" s="9"/>
      <c r="E202" s="9"/>
      <c r="F202" s="9"/>
      <c r="G202" s="5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ht="12.75" customHeight="1">
      <c r="A203" s="9"/>
      <c r="B203" s="5"/>
      <c r="C203" s="9"/>
      <c r="D203" s="9"/>
      <c r="E203" s="9"/>
      <c r="F203" s="9"/>
      <c r="G203" s="5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ht="12.75" customHeight="1">
      <c r="A204" s="9"/>
      <c r="B204" s="5"/>
      <c r="C204" s="9"/>
      <c r="D204" s="9"/>
      <c r="E204" s="9"/>
      <c r="F204" s="9"/>
      <c r="G204" s="5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ht="12.75" customHeight="1">
      <c r="A205" s="9"/>
      <c r="B205" s="5"/>
      <c r="C205" s="9"/>
      <c r="D205" s="9"/>
      <c r="E205" s="9"/>
      <c r="F205" s="9"/>
      <c r="G205" s="5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ht="12.75" customHeight="1">
      <c r="A206" s="9"/>
      <c r="B206" s="5"/>
      <c r="C206" s="9"/>
      <c r="D206" s="9"/>
      <c r="E206" s="9"/>
      <c r="F206" s="9"/>
      <c r="G206" s="5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ht="12.75" customHeight="1">
      <c r="A207" s="9"/>
      <c r="B207" s="5"/>
      <c r="C207" s="9"/>
      <c r="D207" s="9"/>
      <c r="E207" s="9"/>
      <c r="F207" s="9"/>
      <c r="G207" s="5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ht="12.75" customHeight="1">
      <c r="A208" s="9"/>
      <c r="B208" s="5"/>
      <c r="C208" s="9"/>
      <c r="D208" s="9"/>
      <c r="E208" s="9"/>
      <c r="F208" s="9"/>
      <c r="G208" s="5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ht="12.75" customHeight="1">
      <c r="A209" s="9"/>
      <c r="B209" s="5"/>
      <c r="C209" s="9"/>
      <c r="D209" s="9"/>
      <c r="E209" s="9"/>
      <c r="F209" s="9"/>
      <c r="G209" s="5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ht="12.75" customHeight="1">
      <c r="A210" s="9"/>
      <c r="B210" s="5"/>
      <c r="C210" s="9"/>
      <c r="D210" s="9"/>
      <c r="E210" s="9"/>
      <c r="F210" s="9"/>
      <c r="G210" s="5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ht="12.75" customHeight="1">
      <c r="A211" s="9"/>
      <c r="B211" s="5"/>
      <c r="C211" s="9"/>
      <c r="D211" s="9"/>
      <c r="E211" s="9"/>
      <c r="F211" s="9"/>
      <c r="G211" s="5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ht="12.75" customHeight="1">
      <c r="A212" s="9"/>
      <c r="B212" s="5"/>
      <c r="C212" s="9"/>
      <c r="D212" s="9"/>
      <c r="E212" s="9"/>
      <c r="F212" s="9"/>
      <c r="G212" s="5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ht="12.75" customHeight="1">
      <c r="A213" s="9"/>
      <c r="B213" s="5"/>
      <c r="C213" s="9"/>
      <c r="D213" s="9"/>
      <c r="E213" s="9"/>
      <c r="F213" s="9"/>
      <c r="G213" s="5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ht="12.75" customHeight="1">
      <c r="A214" s="9"/>
      <c r="B214" s="5"/>
      <c r="C214" s="9"/>
      <c r="D214" s="9"/>
      <c r="E214" s="9"/>
      <c r="F214" s="9"/>
      <c r="G214" s="5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ht="12.75" customHeight="1">
      <c r="A215" s="9"/>
      <c r="B215" s="5"/>
      <c r="C215" s="9"/>
      <c r="D215" s="9"/>
      <c r="E215" s="9"/>
      <c r="F215" s="9"/>
      <c r="G215" s="5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ht="12.75" customHeight="1">
      <c r="A216" s="9"/>
      <c r="B216" s="5"/>
      <c r="C216" s="9"/>
      <c r="D216" s="9"/>
      <c r="E216" s="9"/>
      <c r="F216" s="9"/>
      <c r="G216" s="5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ht="12.75" customHeight="1">
      <c r="A217" s="9"/>
      <c r="B217" s="5"/>
      <c r="C217" s="9"/>
      <c r="D217" s="9"/>
      <c r="E217" s="9"/>
      <c r="F217" s="9"/>
      <c r="G217" s="5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ht="12.75" customHeight="1">
      <c r="A218" s="9"/>
      <c r="B218" s="5"/>
      <c r="C218" s="9"/>
      <c r="D218" s="9"/>
      <c r="E218" s="9"/>
      <c r="F218" s="9"/>
      <c r="G218" s="5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ht="12.75" customHeight="1">
      <c r="A219" s="9"/>
      <c r="B219" s="5"/>
      <c r="C219" s="9"/>
      <c r="D219" s="9"/>
      <c r="E219" s="9"/>
      <c r="F219" s="9"/>
      <c r="G219" s="5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ht="12.75" customHeight="1">
      <c r="A220" s="9"/>
      <c r="B220" s="5"/>
      <c r="C220" s="9"/>
      <c r="D220" s="9"/>
      <c r="E220" s="9"/>
      <c r="F220" s="9"/>
      <c r="G220" s="5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ht="12.75" customHeight="1">
      <c r="A221" s="9"/>
      <c r="B221" s="5"/>
      <c r="C221" s="9"/>
      <c r="D221" s="9"/>
      <c r="E221" s="9"/>
      <c r="F221" s="9"/>
      <c r="G221" s="5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ht="12.75" customHeight="1">
      <c r="A222" s="9"/>
      <c r="B222" s="5"/>
      <c r="C222" s="9"/>
      <c r="D222" s="9"/>
      <c r="E222" s="9"/>
      <c r="F222" s="9"/>
      <c r="G222" s="5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ht="12.75" customHeight="1">
      <c r="A223" s="9"/>
      <c r="B223" s="5"/>
      <c r="C223" s="9"/>
      <c r="D223" s="9"/>
      <c r="E223" s="9"/>
      <c r="F223" s="9"/>
      <c r="G223" s="5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ht="12.75" customHeight="1">
      <c r="A224" s="9"/>
      <c r="B224" s="5"/>
      <c r="C224" s="9"/>
      <c r="D224" s="9"/>
      <c r="E224" s="9"/>
      <c r="F224" s="9"/>
      <c r="G224" s="5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ht="12.75" customHeight="1">
      <c r="A225" s="9"/>
      <c r="B225" s="5"/>
      <c r="C225" s="9"/>
      <c r="D225" s="9"/>
      <c r="E225" s="9"/>
      <c r="F225" s="9"/>
      <c r="G225" s="5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ht="12.75" customHeight="1">
      <c r="A226" s="9"/>
      <c r="B226" s="5"/>
      <c r="C226" s="9"/>
      <c r="D226" s="9"/>
      <c r="E226" s="9"/>
      <c r="F226" s="9"/>
      <c r="G226" s="5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ht="12.75" customHeight="1">
      <c r="A227" s="9"/>
      <c r="B227" s="5"/>
      <c r="C227" s="9"/>
      <c r="D227" s="9"/>
      <c r="E227" s="9"/>
      <c r="F227" s="9"/>
      <c r="G227" s="5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ht="12.75" customHeight="1">
      <c r="A228" s="9"/>
      <c r="B228" s="5"/>
      <c r="C228" s="9"/>
      <c r="D228" s="9"/>
      <c r="E228" s="9"/>
      <c r="F228" s="9"/>
      <c r="G228" s="5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ht="12.75" customHeight="1">
      <c r="A229" s="9"/>
      <c r="B229" s="5"/>
      <c r="C229" s="9"/>
      <c r="D229" s="9"/>
      <c r="E229" s="9"/>
      <c r="F229" s="9"/>
      <c r="G229" s="5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ht="12.75" customHeight="1">
      <c r="A230" s="9"/>
      <c r="B230" s="5"/>
      <c r="C230" s="9"/>
      <c r="D230" s="9"/>
      <c r="E230" s="9"/>
      <c r="F230" s="9"/>
      <c r="G230" s="5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ht="12.75" customHeight="1">
      <c r="A231" s="9"/>
      <c r="B231" s="5"/>
      <c r="C231" s="9"/>
      <c r="D231" s="9"/>
      <c r="E231" s="9"/>
      <c r="F231" s="9"/>
      <c r="G231" s="5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ht="12.75" customHeight="1">
      <c r="A232" s="9"/>
      <c r="B232" s="5"/>
      <c r="C232" s="9"/>
      <c r="D232" s="9"/>
      <c r="E232" s="9"/>
      <c r="F232" s="9"/>
      <c r="G232" s="5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ht="12.75" customHeight="1">
      <c r="A233" s="9"/>
      <c r="B233" s="5"/>
      <c r="C233" s="9"/>
      <c r="D233" s="9"/>
      <c r="E233" s="9"/>
      <c r="F233" s="9"/>
      <c r="G233" s="5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ht="12.75" customHeight="1">
      <c r="A234" s="9"/>
      <c r="B234" s="5"/>
      <c r="C234" s="9"/>
      <c r="D234" s="9"/>
      <c r="E234" s="9"/>
      <c r="F234" s="9"/>
      <c r="G234" s="5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ht="12.75" customHeight="1">
      <c r="A235" s="9"/>
      <c r="B235" s="5"/>
      <c r="C235" s="9"/>
      <c r="D235" s="9"/>
      <c r="E235" s="9"/>
      <c r="F235" s="9"/>
      <c r="G235" s="5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ht="12.75" customHeight="1">
      <c r="A236" s="9"/>
      <c r="B236" s="5"/>
      <c r="C236" s="9"/>
      <c r="D236" s="9"/>
      <c r="E236" s="9"/>
      <c r="F236" s="9"/>
      <c r="G236" s="5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ht="12.75" customHeight="1">
      <c r="A237" s="9"/>
      <c r="B237" s="5"/>
      <c r="C237" s="9"/>
      <c r="D237" s="9"/>
      <c r="E237" s="9"/>
      <c r="F237" s="9"/>
      <c r="G237" s="5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ht="12.75" customHeight="1">
      <c r="A238" s="9"/>
      <c r="B238" s="5"/>
      <c r="C238" s="9"/>
      <c r="D238" s="9"/>
      <c r="E238" s="9"/>
      <c r="F238" s="9"/>
      <c r="G238" s="5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ht="12.75" customHeight="1">
      <c r="A239" s="9"/>
      <c r="B239" s="5"/>
      <c r="C239" s="9"/>
      <c r="D239" s="9"/>
      <c r="E239" s="9"/>
      <c r="F239" s="9"/>
      <c r="G239" s="5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ht="12.75" customHeight="1">
      <c r="A240" s="9"/>
      <c r="B240" s="5"/>
      <c r="C240" s="9"/>
      <c r="D240" s="9"/>
      <c r="E240" s="9"/>
      <c r="F240" s="9"/>
      <c r="G240" s="5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ht="12.75" customHeight="1">
      <c r="A241" s="9"/>
      <c r="B241" s="5"/>
      <c r="C241" s="9"/>
      <c r="D241" s="9"/>
      <c r="E241" s="9"/>
      <c r="F241" s="9"/>
      <c r="G241" s="5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ht="12.75" customHeight="1">
      <c r="A242" s="9"/>
      <c r="B242" s="5"/>
      <c r="C242" s="9"/>
      <c r="D242" s="9"/>
      <c r="E242" s="9"/>
      <c r="F242" s="9"/>
      <c r="G242" s="5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ht="12.75" customHeight="1">
      <c r="A243" s="9"/>
      <c r="B243" s="5"/>
      <c r="C243" s="9"/>
      <c r="D243" s="9"/>
      <c r="E243" s="9"/>
      <c r="F243" s="9"/>
      <c r="G243" s="5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ht="12.75" customHeight="1">
      <c r="A244" s="9"/>
      <c r="B244" s="5"/>
      <c r="C244" s="9"/>
      <c r="D244" s="9"/>
      <c r="E244" s="9"/>
      <c r="F244" s="9"/>
      <c r="G244" s="5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ht="12.75" customHeight="1">
      <c r="A245" s="9"/>
      <c r="B245" s="5"/>
      <c r="C245" s="9"/>
      <c r="D245" s="9"/>
      <c r="E245" s="9"/>
      <c r="F245" s="9"/>
      <c r="G245" s="5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ht="12.75" customHeight="1">
      <c r="A246" s="9"/>
      <c r="B246" s="5"/>
      <c r="C246" s="9"/>
      <c r="D246" s="9"/>
      <c r="E246" s="9"/>
      <c r="F246" s="9"/>
      <c r="G246" s="5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ht="12.75" customHeight="1">
      <c r="A247" s="9"/>
      <c r="B247" s="5"/>
      <c r="C247" s="9"/>
      <c r="D247" s="9"/>
      <c r="E247" s="9"/>
      <c r="F247" s="9"/>
      <c r="G247" s="5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ht="12.75" customHeight="1">
      <c r="A248" s="9"/>
      <c r="B248" s="5"/>
      <c r="C248" s="9"/>
      <c r="D248" s="9"/>
      <c r="E248" s="9"/>
      <c r="F248" s="9"/>
      <c r="G248" s="5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ht="12.75" customHeight="1">
      <c r="A249" s="9"/>
      <c r="B249" s="5"/>
      <c r="C249" s="9"/>
      <c r="D249" s="9"/>
      <c r="E249" s="9"/>
      <c r="F249" s="9"/>
      <c r="G249" s="5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ht="12.75" customHeight="1">
      <c r="A250" s="9"/>
      <c r="B250" s="5"/>
      <c r="C250" s="9"/>
      <c r="D250" s="9"/>
      <c r="E250" s="9"/>
      <c r="F250" s="9"/>
      <c r="G250" s="5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ht="12.75" customHeight="1">
      <c r="A251" s="9"/>
      <c r="B251" s="5"/>
      <c r="C251" s="9"/>
      <c r="D251" s="9"/>
      <c r="E251" s="9"/>
      <c r="F251" s="9"/>
      <c r="G251" s="5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ht="12.75" customHeight="1">
      <c r="A252" s="9"/>
      <c r="B252" s="5"/>
      <c r="C252" s="9"/>
      <c r="D252" s="9"/>
      <c r="E252" s="9"/>
      <c r="F252" s="9"/>
      <c r="G252" s="5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ht="12.75" customHeight="1">
      <c r="A253" s="9"/>
      <c r="B253" s="5"/>
      <c r="C253" s="9"/>
      <c r="D253" s="9"/>
      <c r="E253" s="9"/>
      <c r="F253" s="9"/>
      <c r="G253" s="5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ht="12.75" customHeight="1">
      <c r="A254" s="9"/>
      <c r="B254" s="5"/>
      <c r="C254" s="9"/>
      <c r="D254" s="9"/>
      <c r="E254" s="9"/>
      <c r="F254" s="9"/>
      <c r="G254" s="5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ht="12.75" customHeight="1">
      <c r="A255" s="9"/>
      <c r="B255" s="5"/>
      <c r="C255" s="9"/>
      <c r="D255" s="9"/>
      <c r="E255" s="9"/>
      <c r="F255" s="9"/>
      <c r="G255" s="5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ht="12.75" customHeight="1">
      <c r="A256" s="9"/>
      <c r="B256" s="5"/>
      <c r="C256" s="9"/>
      <c r="D256" s="9"/>
      <c r="E256" s="9"/>
      <c r="F256" s="9"/>
      <c r="G256" s="5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ht="12.75" customHeight="1">
      <c r="A257" s="9"/>
      <c r="B257" s="5"/>
      <c r="C257" s="9"/>
      <c r="D257" s="9"/>
      <c r="E257" s="9"/>
      <c r="F257" s="9"/>
      <c r="G257" s="5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ht="12.75" customHeight="1">
      <c r="A258" s="9"/>
      <c r="B258" s="5"/>
      <c r="C258" s="9"/>
      <c r="D258" s="9"/>
      <c r="E258" s="9"/>
      <c r="F258" s="9"/>
      <c r="G258" s="5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ht="12.75" customHeight="1">
      <c r="A259" s="9"/>
      <c r="B259" s="5"/>
      <c r="C259" s="9"/>
      <c r="D259" s="9"/>
      <c r="E259" s="9"/>
      <c r="F259" s="9"/>
      <c r="G259" s="5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ht="12.75" customHeight="1">
      <c r="A260" s="9"/>
      <c r="B260" s="5"/>
      <c r="C260" s="9"/>
      <c r="D260" s="9"/>
      <c r="E260" s="9"/>
      <c r="F260" s="9"/>
      <c r="G260" s="5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ht="12.75" customHeight="1">
      <c r="A261" s="9"/>
      <c r="B261" s="5"/>
      <c r="C261" s="9"/>
      <c r="D261" s="9"/>
      <c r="E261" s="9"/>
      <c r="F261" s="9"/>
      <c r="G261" s="5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ht="12.75" customHeight="1">
      <c r="A262" s="9"/>
      <c r="B262" s="5"/>
      <c r="C262" s="9"/>
      <c r="D262" s="9"/>
      <c r="E262" s="9"/>
      <c r="F262" s="9"/>
      <c r="G262" s="5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ht="12.75" customHeight="1">
      <c r="A263" s="9"/>
      <c r="B263" s="5"/>
      <c r="C263" s="9"/>
      <c r="D263" s="9"/>
      <c r="E263" s="9"/>
      <c r="F263" s="9"/>
      <c r="G263" s="5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ht="12.75" customHeight="1">
      <c r="A264" s="9"/>
      <c r="B264" s="5"/>
      <c r="C264" s="9"/>
      <c r="D264" s="9"/>
      <c r="E264" s="9"/>
      <c r="F264" s="9"/>
      <c r="G264" s="5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ht="12.75" customHeight="1">
      <c r="A265" s="9"/>
      <c r="B265" s="5"/>
      <c r="C265" s="9"/>
      <c r="D265" s="9"/>
      <c r="E265" s="9"/>
      <c r="F265" s="9"/>
      <c r="G265" s="5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ht="12.75" customHeight="1">
      <c r="A266" s="9"/>
      <c r="B266" s="5"/>
      <c r="C266" s="9"/>
      <c r="D266" s="9"/>
      <c r="E266" s="9"/>
      <c r="F266" s="9"/>
      <c r="G266" s="5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ht="12.75" customHeight="1">
      <c r="A267" s="9"/>
      <c r="B267" s="5"/>
      <c r="C267" s="9"/>
      <c r="D267" s="9"/>
      <c r="E267" s="9"/>
      <c r="F267" s="9"/>
      <c r="G267" s="5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ht="12.75" customHeight="1">
      <c r="A268" s="9"/>
      <c r="B268" s="5"/>
      <c r="C268" s="9"/>
      <c r="D268" s="9"/>
      <c r="E268" s="9"/>
      <c r="F268" s="9"/>
      <c r="G268" s="5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ht="12.75" customHeight="1">
      <c r="A269" s="9"/>
      <c r="B269" s="5"/>
      <c r="C269" s="9"/>
      <c r="D269" s="9"/>
      <c r="E269" s="9"/>
      <c r="F269" s="9"/>
      <c r="G269" s="5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ht="12.75" customHeight="1">
      <c r="A270" s="9"/>
      <c r="B270" s="5"/>
      <c r="C270" s="9"/>
      <c r="D270" s="9"/>
      <c r="E270" s="9"/>
      <c r="F270" s="9"/>
      <c r="G270" s="5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ht="12.75" customHeight="1">
      <c r="A271" s="9"/>
      <c r="B271" s="5"/>
      <c r="C271" s="9"/>
      <c r="D271" s="9"/>
      <c r="E271" s="9"/>
      <c r="F271" s="9"/>
      <c r="G271" s="5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ht="12.75" customHeight="1">
      <c r="A272" s="9"/>
      <c r="B272" s="5"/>
      <c r="C272" s="9"/>
      <c r="D272" s="9"/>
      <c r="E272" s="9"/>
      <c r="F272" s="9"/>
      <c r="G272" s="5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ht="12.75" customHeight="1">
      <c r="A273" s="9"/>
      <c r="B273" s="5"/>
      <c r="C273" s="9"/>
      <c r="D273" s="9"/>
      <c r="E273" s="9"/>
      <c r="F273" s="9"/>
      <c r="G273" s="5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ht="12.75" customHeight="1">
      <c r="A274" s="9"/>
      <c r="B274" s="5"/>
      <c r="C274" s="9"/>
      <c r="D274" s="9"/>
      <c r="E274" s="9"/>
      <c r="F274" s="9"/>
      <c r="G274" s="5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ht="12.75" customHeight="1">
      <c r="A275" s="9"/>
      <c r="B275" s="5"/>
      <c r="C275" s="9"/>
      <c r="D275" s="9"/>
      <c r="E275" s="9"/>
      <c r="F275" s="9"/>
      <c r="G275" s="5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ht="12.75" customHeight="1">
      <c r="A276" s="9"/>
      <c r="B276" s="5"/>
      <c r="C276" s="9"/>
      <c r="D276" s="9"/>
      <c r="E276" s="9"/>
      <c r="F276" s="9"/>
      <c r="G276" s="5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ht="12.75" customHeight="1">
      <c r="A277" s="9"/>
      <c r="B277" s="5"/>
      <c r="C277" s="9"/>
      <c r="D277" s="9"/>
      <c r="E277" s="9"/>
      <c r="F277" s="9"/>
      <c r="G277" s="5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ht="12.75" customHeight="1">
      <c r="A278" s="9"/>
      <c r="B278" s="5"/>
      <c r="C278" s="9"/>
      <c r="D278" s="9"/>
      <c r="E278" s="9"/>
      <c r="F278" s="9"/>
      <c r="G278" s="5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ht="12.75" customHeight="1">
      <c r="A279" s="9"/>
      <c r="B279" s="5"/>
      <c r="C279" s="9"/>
      <c r="D279" s="9"/>
      <c r="E279" s="9"/>
      <c r="F279" s="9"/>
      <c r="G279" s="5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ht="12.75" customHeight="1">
      <c r="A280" s="9"/>
      <c r="B280" s="5"/>
      <c r="C280" s="9"/>
      <c r="D280" s="9"/>
      <c r="E280" s="9"/>
      <c r="F280" s="9"/>
      <c r="G280" s="5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ht="12.75" customHeight="1">
      <c r="A281" s="9"/>
      <c r="B281" s="5"/>
      <c r="C281" s="9"/>
      <c r="D281" s="9"/>
      <c r="E281" s="9"/>
      <c r="F281" s="9"/>
      <c r="G281" s="5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ht="12.75" customHeight="1">
      <c r="A282" s="9"/>
      <c r="B282" s="5"/>
      <c r="C282" s="9"/>
      <c r="D282" s="9"/>
      <c r="E282" s="9"/>
      <c r="F282" s="9"/>
      <c r="G282" s="5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ht="12.75" customHeight="1">
      <c r="A283" s="9"/>
      <c r="B283" s="5"/>
      <c r="C283" s="9"/>
      <c r="D283" s="9"/>
      <c r="E283" s="9"/>
      <c r="F283" s="9"/>
      <c r="G283" s="5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ht="12.75" customHeight="1">
      <c r="A284" s="9"/>
      <c r="B284" s="5"/>
      <c r="C284" s="9"/>
      <c r="D284" s="9"/>
      <c r="E284" s="9"/>
      <c r="F284" s="9"/>
      <c r="G284" s="5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ht="12.75" customHeight="1">
      <c r="A285" s="9"/>
      <c r="B285" s="5"/>
      <c r="C285" s="9"/>
      <c r="D285" s="9"/>
      <c r="E285" s="9"/>
      <c r="F285" s="9"/>
      <c r="G285" s="5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ht="12.75" customHeight="1">
      <c r="A286" s="9"/>
      <c r="B286" s="5"/>
      <c r="C286" s="9"/>
      <c r="D286" s="9"/>
      <c r="E286" s="9"/>
      <c r="F286" s="9"/>
      <c r="G286" s="5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ht="12.75" customHeight="1">
      <c r="A287" s="9"/>
      <c r="B287" s="5"/>
      <c r="C287" s="9"/>
      <c r="D287" s="9"/>
      <c r="E287" s="9"/>
      <c r="F287" s="9"/>
      <c r="G287" s="5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ht="12.75" customHeight="1">
      <c r="A288" s="9"/>
      <c r="B288" s="5"/>
      <c r="C288" s="9"/>
      <c r="D288" s="9"/>
      <c r="E288" s="9"/>
      <c r="F288" s="9"/>
      <c r="G288" s="5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ht="12.75" customHeight="1">
      <c r="A289" s="9"/>
      <c r="B289" s="5"/>
      <c r="C289" s="9"/>
      <c r="D289" s="9"/>
      <c r="E289" s="9"/>
      <c r="F289" s="9"/>
      <c r="G289" s="5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ht="12.75" customHeight="1">
      <c r="A290" s="9"/>
      <c r="B290" s="5"/>
      <c r="C290" s="9"/>
      <c r="D290" s="9"/>
      <c r="E290" s="9"/>
      <c r="F290" s="9"/>
      <c r="G290" s="5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ht="12.75" customHeight="1">
      <c r="A291" s="9"/>
      <c r="B291" s="5"/>
      <c r="C291" s="9"/>
      <c r="D291" s="9"/>
      <c r="E291" s="9"/>
      <c r="F291" s="9"/>
      <c r="G291" s="5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ht="12.75" customHeight="1">
      <c r="A292" s="9"/>
      <c r="B292" s="5"/>
      <c r="C292" s="9"/>
      <c r="D292" s="9"/>
      <c r="E292" s="9"/>
      <c r="F292" s="9"/>
      <c r="G292" s="5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ht="12.75" customHeight="1">
      <c r="A293" s="9"/>
      <c r="B293" s="5"/>
      <c r="C293" s="9"/>
      <c r="D293" s="9"/>
      <c r="E293" s="9"/>
      <c r="F293" s="9"/>
      <c r="G293" s="5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ht="12.75" customHeight="1">
      <c r="A294" s="9"/>
      <c r="B294" s="5"/>
      <c r="C294" s="9"/>
      <c r="D294" s="9"/>
      <c r="E294" s="9"/>
      <c r="F294" s="9"/>
      <c r="G294" s="5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ht="12.75" customHeight="1">
      <c r="A295" s="9"/>
      <c r="B295" s="5"/>
      <c r="C295" s="9"/>
      <c r="D295" s="9"/>
      <c r="E295" s="9"/>
      <c r="F295" s="9"/>
      <c r="G295" s="5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ht="12.75" customHeight="1">
      <c r="A296" s="9"/>
      <c r="B296" s="5"/>
      <c r="C296" s="9"/>
      <c r="D296" s="9"/>
      <c r="E296" s="9"/>
      <c r="F296" s="9"/>
      <c r="G296" s="5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ht="12.75" customHeight="1">
      <c r="A297" s="9"/>
      <c r="B297" s="5"/>
      <c r="C297" s="9"/>
      <c r="D297" s="9"/>
      <c r="E297" s="9"/>
      <c r="F297" s="9"/>
      <c r="G297" s="5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ht="12.75" customHeight="1">
      <c r="A298" s="9"/>
      <c r="B298" s="5"/>
      <c r="C298" s="9"/>
      <c r="D298" s="9"/>
      <c r="E298" s="9"/>
      <c r="F298" s="9"/>
      <c r="G298" s="5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ht="12.75" customHeight="1">
      <c r="A299" s="9"/>
      <c r="B299" s="5"/>
      <c r="C299" s="9"/>
      <c r="D299" s="9"/>
      <c r="E299" s="9"/>
      <c r="F299" s="9"/>
      <c r="G299" s="5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ht="12.75" customHeight="1">
      <c r="A300" s="9"/>
      <c r="B300" s="5"/>
      <c r="C300" s="9"/>
      <c r="D300" s="9"/>
      <c r="E300" s="9"/>
      <c r="F300" s="9"/>
      <c r="G300" s="5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ht="12.75" customHeight="1">
      <c r="A301" s="9"/>
      <c r="B301" s="5"/>
      <c r="C301" s="9"/>
      <c r="D301" s="9"/>
      <c r="E301" s="9"/>
      <c r="F301" s="9"/>
      <c r="G301" s="5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ht="12.75" customHeight="1">
      <c r="A302" s="9"/>
      <c r="B302" s="5"/>
      <c r="C302" s="9"/>
      <c r="D302" s="9"/>
      <c r="E302" s="9"/>
      <c r="F302" s="9"/>
      <c r="G302" s="5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ht="12.75" customHeight="1">
      <c r="A303" s="9"/>
      <c r="B303" s="5"/>
      <c r="C303" s="9"/>
      <c r="D303" s="9"/>
      <c r="E303" s="9"/>
      <c r="F303" s="9"/>
      <c r="G303" s="5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ht="12.75" customHeight="1">
      <c r="A304" s="9"/>
      <c r="B304" s="5"/>
      <c r="C304" s="9"/>
      <c r="D304" s="9"/>
      <c r="E304" s="9"/>
      <c r="F304" s="9"/>
      <c r="G304" s="5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ht="12.75" customHeight="1">
      <c r="A305" s="9"/>
      <c r="B305" s="5"/>
      <c r="C305" s="9"/>
      <c r="D305" s="9"/>
      <c r="E305" s="9"/>
      <c r="F305" s="9"/>
      <c r="G305" s="5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ht="12.75" customHeight="1">
      <c r="A306" s="9"/>
      <c r="B306" s="5"/>
      <c r="C306" s="9"/>
      <c r="D306" s="9"/>
      <c r="E306" s="9"/>
      <c r="F306" s="9"/>
      <c r="G306" s="5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ht="12.75" customHeight="1">
      <c r="A307" s="9"/>
      <c r="B307" s="5"/>
      <c r="C307" s="9"/>
      <c r="D307" s="9"/>
      <c r="E307" s="9"/>
      <c r="F307" s="9"/>
      <c r="G307" s="5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ht="12.75" customHeight="1">
      <c r="A308" s="9"/>
      <c r="B308" s="5"/>
      <c r="C308" s="9"/>
      <c r="D308" s="9"/>
      <c r="E308" s="9"/>
      <c r="F308" s="9"/>
      <c r="G308" s="5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ht="12.75" customHeight="1">
      <c r="A309" s="9"/>
      <c r="B309" s="5"/>
      <c r="C309" s="9"/>
      <c r="D309" s="9"/>
      <c r="E309" s="9"/>
      <c r="F309" s="9"/>
      <c r="G309" s="5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ht="12.75" customHeight="1">
      <c r="A310" s="9"/>
      <c r="B310" s="5"/>
      <c r="C310" s="9"/>
      <c r="D310" s="9"/>
      <c r="E310" s="9"/>
      <c r="F310" s="9"/>
      <c r="G310" s="5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ht="12.75" customHeight="1">
      <c r="A311" s="9"/>
      <c r="B311" s="5"/>
      <c r="C311" s="9"/>
      <c r="D311" s="9"/>
      <c r="E311" s="9"/>
      <c r="F311" s="9"/>
      <c r="G311" s="5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ht="12.75" customHeight="1">
      <c r="A312" s="9"/>
      <c r="B312" s="5"/>
      <c r="C312" s="9"/>
      <c r="D312" s="9"/>
      <c r="E312" s="9"/>
      <c r="F312" s="9"/>
      <c r="G312" s="5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ht="12.75" customHeight="1">
      <c r="A313" s="9"/>
      <c r="B313" s="5"/>
      <c r="C313" s="9"/>
      <c r="D313" s="9"/>
      <c r="E313" s="9"/>
      <c r="F313" s="9"/>
      <c r="G313" s="5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ht="12.75" customHeight="1">
      <c r="A314" s="9"/>
      <c r="B314" s="5"/>
      <c r="C314" s="9"/>
      <c r="D314" s="9"/>
      <c r="E314" s="9"/>
      <c r="F314" s="9"/>
      <c r="G314" s="5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ht="12.75" customHeight="1">
      <c r="A315" s="9"/>
      <c r="B315" s="5"/>
      <c r="C315" s="9"/>
      <c r="D315" s="9"/>
      <c r="E315" s="9"/>
      <c r="F315" s="9"/>
      <c r="G315" s="5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ht="12.75" customHeight="1">
      <c r="A316" s="9"/>
      <c r="B316" s="5"/>
      <c r="C316" s="9"/>
      <c r="D316" s="9"/>
      <c r="E316" s="9"/>
      <c r="F316" s="9"/>
      <c r="G316" s="5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ht="12.75" customHeight="1">
      <c r="A317" s="9"/>
      <c r="B317" s="5"/>
      <c r="C317" s="9"/>
      <c r="D317" s="9"/>
      <c r="E317" s="9"/>
      <c r="F317" s="9"/>
      <c r="G317" s="5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ht="12.75" customHeight="1">
      <c r="A318" s="9"/>
      <c r="B318" s="5"/>
      <c r="C318" s="9"/>
      <c r="D318" s="9"/>
      <c r="E318" s="9"/>
      <c r="F318" s="9"/>
      <c r="G318" s="5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ht="12.75" customHeight="1">
      <c r="A319" s="9"/>
      <c r="B319" s="5"/>
      <c r="C319" s="9"/>
      <c r="D319" s="9"/>
      <c r="E319" s="9"/>
      <c r="F319" s="9"/>
      <c r="G319" s="5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ht="12.75" customHeight="1">
      <c r="A320" s="9"/>
      <c r="B320" s="5"/>
      <c r="C320" s="9"/>
      <c r="D320" s="9"/>
      <c r="E320" s="9"/>
      <c r="F320" s="9"/>
      <c r="G320" s="5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ht="12.75" customHeight="1">
      <c r="A321" s="9"/>
      <c r="B321" s="5"/>
      <c r="C321" s="9"/>
      <c r="D321" s="9"/>
      <c r="E321" s="9"/>
      <c r="F321" s="9"/>
      <c r="G321" s="5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ht="12.75" customHeight="1">
      <c r="A322" s="9"/>
      <c r="B322" s="5"/>
      <c r="C322" s="9"/>
      <c r="D322" s="9"/>
      <c r="E322" s="9"/>
      <c r="F322" s="9"/>
      <c r="G322" s="5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ht="12.75" customHeight="1">
      <c r="A323" s="9"/>
      <c r="B323" s="5"/>
      <c r="C323" s="9"/>
      <c r="D323" s="9"/>
      <c r="E323" s="9"/>
      <c r="F323" s="9"/>
      <c r="G323" s="5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ht="12.75" customHeight="1">
      <c r="A324" s="9"/>
      <c r="B324" s="5"/>
      <c r="C324" s="9"/>
      <c r="D324" s="9"/>
      <c r="E324" s="9"/>
      <c r="F324" s="9"/>
      <c r="G324" s="5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ht="12.75" customHeight="1">
      <c r="A325" s="9"/>
      <c r="B325" s="5"/>
      <c r="C325" s="9"/>
      <c r="D325" s="9"/>
      <c r="E325" s="9"/>
      <c r="F325" s="9"/>
      <c r="G325" s="5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ht="12.75" customHeight="1">
      <c r="A326" s="9"/>
      <c r="B326" s="5"/>
      <c r="C326" s="9"/>
      <c r="D326" s="9"/>
      <c r="E326" s="9"/>
      <c r="F326" s="9"/>
      <c r="G326" s="5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ht="12.75" customHeight="1">
      <c r="A327" s="9"/>
      <c r="B327" s="5"/>
      <c r="C327" s="9"/>
      <c r="D327" s="9"/>
      <c r="E327" s="9"/>
      <c r="F327" s="9"/>
      <c r="G327" s="5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ht="12.75" customHeight="1">
      <c r="A328" s="9"/>
      <c r="B328" s="5"/>
      <c r="C328" s="9"/>
      <c r="D328" s="9"/>
      <c r="E328" s="9"/>
      <c r="F328" s="9"/>
      <c r="G328" s="5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ht="12.75" customHeight="1">
      <c r="A329" s="9"/>
      <c r="B329" s="5"/>
      <c r="C329" s="9"/>
      <c r="D329" s="9"/>
      <c r="E329" s="9"/>
      <c r="F329" s="9"/>
      <c r="G329" s="5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ht="12.75" customHeight="1">
      <c r="A330" s="9"/>
      <c r="B330" s="5"/>
      <c r="C330" s="9"/>
      <c r="D330" s="9"/>
      <c r="E330" s="9"/>
      <c r="F330" s="9"/>
      <c r="G330" s="5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ht="12.75" customHeight="1">
      <c r="A331" s="9"/>
      <c r="B331" s="5"/>
      <c r="C331" s="9"/>
      <c r="D331" s="9"/>
      <c r="E331" s="9"/>
      <c r="F331" s="9"/>
      <c r="G331" s="5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ht="12.75" customHeight="1">
      <c r="A332" s="9"/>
      <c r="B332" s="5"/>
      <c r="C332" s="9"/>
      <c r="D332" s="9"/>
      <c r="E332" s="9"/>
      <c r="F332" s="9"/>
      <c r="G332" s="5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ht="12.75" customHeight="1">
      <c r="A333" s="9"/>
      <c r="B333" s="5"/>
      <c r="C333" s="9"/>
      <c r="D333" s="9"/>
      <c r="E333" s="9"/>
      <c r="F333" s="9"/>
      <c r="G333" s="5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ht="12.75" customHeight="1">
      <c r="A334" s="9"/>
      <c r="B334" s="5"/>
      <c r="C334" s="9"/>
      <c r="D334" s="9"/>
      <c r="E334" s="9"/>
      <c r="F334" s="9"/>
      <c r="G334" s="5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ht="12.75" customHeight="1">
      <c r="A335" s="9"/>
      <c r="B335" s="5"/>
      <c r="C335" s="9"/>
      <c r="D335" s="9"/>
      <c r="E335" s="9"/>
      <c r="F335" s="9"/>
      <c r="G335" s="5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ht="12.75" customHeight="1">
      <c r="A336" s="9"/>
      <c r="B336" s="5"/>
      <c r="C336" s="9"/>
      <c r="D336" s="9"/>
      <c r="E336" s="9"/>
      <c r="F336" s="9"/>
      <c r="G336" s="5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ht="12.75" customHeight="1">
      <c r="A337" s="9"/>
      <c r="B337" s="5"/>
      <c r="C337" s="9"/>
      <c r="D337" s="9"/>
      <c r="E337" s="9"/>
      <c r="F337" s="9"/>
      <c r="G337" s="5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ht="12.75" customHeight="1">
      <c r="A338" s="9"/>
      <c r="B338" s="5"/>
      <c r="C338" s="9"/>
      <c r="D338" s="9"/>
      <c r="E338" s="9"/>
      <c r="F338" s="9"/>
      <c r="G338" s="5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ht="12.75" customHeight="1">
      <c r="A339" s="9"/>
      <c r="B339" s="5"/>
      <c r="C339" s="9"/>
      <c r="D339" s="9"/>
      <c r="E339" s="9"/>
      <c r="F339" s="9"/>
      <c r="G339" s="5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ht="12.75" customHeight="1">
      <c r="A340" s="9"/>
      <c r="B340" s="5"/>
      <c r="C340" s="9"/>
      <c r="D340" s="9"/>
      <c r="E340" s="9"/>
      <c r="F340" s="9"/>
      <c r="G340" s="5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ht="12.75" customHeight="1">
      <c r="A341" s="9"/>
      <c r="B341" s="5"/>
      <c r="C341" s="9"/>
      <c r="D341" s="9"/>
      <c r="E341" s="9"/>
      <c r="F341" s="9"/>
      <c r="G341" s="5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ht="12.75" customHeight="1">
      <c r="A342" s="9"/>
      <c r="B342" s="5"/>
      <c r="C342" s="9"/>
      <c r="D342" s="9"/>
      <c r="E342" s="9"/>
      <c r="F342" s="9"/>
      <c r="G342" s="5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ht="12.75" customHeight="1">
      <c r="A343" s="9"/>
      <c r="B343" s="5"/>
      <c r="C343" s="9"/>
      <c r="D343" s="9"/>
      <c r="E343" s="9"/>
      <c r="F343" s="9"/>
      <c r="G343" s="5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ht="12.75" customHeight="1">
      <c r="A344" s="9"/>
      <c r="B344" s="5"/>
      <c r="C344" s="9"/>
      <c r="D344" s="9"/>
      <c r="E344" s="9"/>
      <c r="F344" s="9"/>
      <c r="G344" s="5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ht="12.75" customHeight="1">
      <c r="A345" s="9"/>
      <c r="B345" s="5"/>
      <c r="C345" s="9"/>
      <c r="D345" s="9"/>
      <c r="E345" s="9"/>
      <c r="F345" s="9"/>
      <c r="G345" s="5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ht="12.75" customHeight="1">
      <c r="A346" s="9"/>
      <c r="B346" s="5"/>
      <c r="C346" s="9"/>
      <c r="D346" s="9"/>
      <c r="E346" s="9"/>
      <c r="F346" s="9"/>
      <c r="G346" s="5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ht="12.75" customHeight="1">
      <c r="A347" s="9"/>
      <c r="B347" s="5"/>
      <c r="C347" s="9"/>
      <c r="D347" s="9"/>
      <c r="E347" s="9"/>
      <c r="F347" s="9"/>
      <c r="G347" s="5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ht="12.75" customHeight="1">
      <c r="A348" s="9"/>
      <c r="B348" s="5"/>
      <c r="C348" s="9"/>
      <c r="D348" s="9"/>
      <c r="E348" s="9"/>
      <c r="F348" s="9"/>
      <c r="G348" s="5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ht="12.75" customHeight="1">
      <c r="A349" s="9"/>
      <c r="B349" s="5"/>
      <c r="C349" s="9"/>
      <c r="D349" s="9"/>
      <c r="E349" s="9"/>
      <c r="F349" s="9"/>
      <c r="G349" s="5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ht="12.75" customHeight="1">
      <c r="A350" s="9"/>
      <c r="B350" s="5"/>
      <c r="C350" s="9"/>
      <c r="D350" s="9"/>
      <c r="E350" s="9"/>
      <c r="F350" s="9"/>
      <c r="G350" s="5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ht="12.75" customHeight="1">
      <c r="A351" s="9"/>
      <c r="B351" s="5"/>
      <c r="C351" s="9"/>
      <c r="D351" s="9"/>
      <c r="E351" s="9"/>
      <c r="F351" s="9"/>
      <c r="G351" s="5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ht="12.75" customHeight="1">
      <c r="A352" s="9"/>
      <c r="B352" s="5"/>
      <c r="C352" s="9"/>
      <c r="D352" s="9"/>
      <c r="E352" s="9"/>
      <c r="F352" s="9"/>
      <c r="G352" s="5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ht="12.75" customHeight="1">
      <c r="A353" s="9"/>
      <c r="B353" s="5"/>
      <c r="C353" s="9"/>
      <c r="D353" s="9"/>
      <c r="E353" s="9"/>
      <c r="F353" s="9"/>
      <c r="G353" s="5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ht="12.75" customHeight="1">
      <c r="A354" s="9"/>
      <c r="B354" s="5"/>
      <c r="C354" s="9"/>
      <c r="D354" s="9"/>
      <c r="E354" s="9"/>
      <c r="F354" s="9"/>
      <c r="G354" s="5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ht="12.75" customHeight="1">
      <c r="A355" s="9"/>
      <c r="B355" s="5"/>
      <c r="C355" s="9"/>
      <c r="D355" s="9"/>
      <c r="E355" s="9"/>
      <c r="F355" s="9"/>
      <c r="G355" s="5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ht="12.75" customHeight="1">
      <c r="A356" s="9"/>
      <c r="B356" s="5"/>
      <c r="C356" s="9"/>
      <c r="D356" s="9"/>
      <c r="E356" s="9"/>
      <c r="F356" s="9"/>
      <c r="G356" s="5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ht="12.75" customHeight="1">
      <c r="A357" s="9"/>
      <c r="B357" s="5"/>
      <c r="C357" s="9"/>
      <c r="D357" s="9"/>
      <c r="E357" s="9"/>
      <c r="F357" s="9"/>
      <c r="G357" s="5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ht="12.75" customHeight="1">
      <c r="A358" s="9"/>
      <c r="B358" s="5"/>
      <c r="C358" s="9"/>
      <c r="D358" s="9"/>
      <c r="E358" s="9"/>
      <c r="F358" s="9"/>
      <c r="G358" s="5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ht="12.75" customHeight="1">
      <c r="A359" s="9"/>
      <c r="B359" s="5"/>
      <c r="C359" s="9"/>
      <c r="D359" s="9"/>
      <c r="E359" s="9"/>
      <c r="F359" s="9"/>
      <c r="G359" s="5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ht="12.75" customHeight="1">
      <c r="A360" s="9"/>
      <c r="B360" s="5"/>
      <c r="C360" s="9"/>
      <c r="D360" s="9"/>
      <c r="E360" s="9"/>
      <c r="F360" s="9"/>
      <c r="G360" s="5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ht="12.75" customHeight="1">
      <c r="A361" s="9"/>
      <c r="B361" s="5"/>
      <c r="C361" s="9"/>
      <c r="D361" s="9"/>
      <c r="E361" s="9"/>
      <c r="F361" s="9"/>
      <c r="G361" s="5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ht="12.75" customHeight="1">
      <c r="A362" s="9"/>
      <c r="B362" s="5"/>
      <c r="C362" s="9"/>
      <c r="D362" s="9"/>
      <c r="E362" s="9"/>
      <c r="F362" s="9"/>
      <c r="G362" s="5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ht="12.75" customHeight="1">
      <c r="A363" s="9"/>
      <c r="B363" s="5"/>
      <c r="C363" s="9"/>
      <c r="D363" s="9"/>
      <c r="E363" s="9"/>
      <c r="F363" s="9"/>
      <c r="G363" s="5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ht="12.75" customHeight="1">
      <c r="A364" s="9"/>
      <c r="B364" s="5"/>
      <c r="C364" s="9"/>
      <c r="D364" s="9"/>
      <c r="E364" s="9"/>
      <c r="F364" s="9"/>
      <c r="G364" s="5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ht="12.75" customHeight="1">
      <c r="A365" s="9"/>
      <c r="B365" s="5"/>
      <c r="C365" s="9"/>
      <c r="D365" s="9"/>
      <c r="E365" s="9"/>
      <c r="F365" s="9"/>
      <c r="G365" s="5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ht="12.75" customHeight="1">
      <c r="A366" s="9"/>
      <c r="B366" s="5"/>
      <c r="C366" s="9"/>
      <c r="D366" s="9"/>
      <c r="E366" s="9"/>
      <c r="F366" s="9"/>
      <c r="G366" s="5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ht="12.75" customHeight="1">
      <c r="A367" s="9"/>
      <c r="B367" s="5"/>
      <c r="C367" s="9"/>
      <c r="D367" s="9"/>
      <c r="E367" s="9"/>
      <c r="F367" s="9"/>
      <c r="G367" s="5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ht="12.75" customHeight="1">
      <c r="A368" s="9"/>
      <c r="B368" s="5"/>
      <c r="C368" s="9"/>
      <c r="D368" s="9"/>
      <c r="E368" s="9"/>
      <c r="F368" s="9"/>
      <c r="G368" s="5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ht="12.75" customHeight="1">
      <c r="A369" s="9"/>
      <c r="B369" s="5"/>
      <c r="C369" s="9"/>
      <c r="D369" s="9"/>
      <c r="E369" s="9"/>
      <c r="F369" s="9"/>
      <c r="G369" s="5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ht="12.75" customHeight="1">
      <c r="A370" s="9"/>
      <c r="B370" s="5"/>
      <c r="C370" s="9"/>
      <c r="D370" s="9"/>
      <c r="E370" s="9"/>
      <c r="F370" s="9"/>
      <c r="G370" s="5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ht="12.75" customHeight="1">
      <c r="A371" s="9"/>
      <c r="B371" s="5"/>
      <c r="C371" s="9"/>
      <c r="D371" s="9"/>
      <c r="E371" s="9"/>
      <c r="F371" s="9"/>
      <c r="G371" s="5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ht="12.75" customHeight="1">
      <c r="A372" s="9"/>
      <c r="B372" s="5"/>
      <c r="C372" s="9"/>
      <c r="D372" s="9"/>
      <c r="E372" s="9"/>
      <c r="F372" s="9"/>
      <c r="G372" s="5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ht="12.75" customHeight="1">
      <c r="A373" s="9"/>
      <c r="B373" s="5"/>
      <c r="C373" s="9"/>
      <c r="D373" s="9"/>
      <c r="E373" s="9"/>
      <c r="F373" s="9"/>
      <c r="G373" s="5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ht="12.75" customHeight="1">
      <c r="A374" s="9"/>
      <c r="B374" s="5"/>
      <c r="C374" s="9"/>
      <c r="D374" s="9"/>
      <c r="E374" s="9"/>
      <c r="F374" s="9"/>
      <c r="G374" s="5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ht="12.75" customHeight="1">
      <c r="A375" s="9"/>
      <c r="B375" s="5"/>
      <c r="C375" s="9"/>
      <c r="D375" s="9"/>
      <c r="E375" s="9"/>
      <c r="F375" s="9"/>
      <c r="G375" s="5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ht="12.75" customHeight="1">
      <c r="A376" s="9"/>
      <c r="B376" s="5"/>
      <c r="C376" s="9"/>
      <c r="D376" s="9"/>
      <c r="E376" s="9"/>
      <c r="F376" s="9"/>
      <c r="G376" s="5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ht="12.75" customHeight="1">
      <c r="A377" s="9"/>
      <c r="B377" s="5"/>
      <c r="C377" s="9"/>
      <c r="D377" s="9"/>
      <c r="E377" s="9"/>
      <c r="F377" s="9"/>
      <c r="G377" s="5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ht="12.75" customHeight="1">
      <c r="A378" s="9"/>
      <c r="B378" s="5"/>
      <c r="C378" s="9"/>
      <c r="D378" s="9"/>
      <c r="E378" s="9"/>
      <c r="F378" s="9"/>
      <c r="G378" s="5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ht="12.75" customHeight="1">
      <c r="A379" s="9"/>
      <c r="B379" s="5"/>
      <c r="C379" s="9"/>
      <c r="D379" s="9"/>
      <c r="E379" s="9"/>
      <c r="F379" s="9"/>
      <c r="G379" s="5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ht="12.75" customHeight="1">
      <c r="A380" s="9"/>
      <c r="B380" s="5"/>
      <c r="C380" s="9"/>
      <c r="D380" s="9"/>
      <c r="E380" s="9"/>
      <c r="F380" s="9"/>
      <c r="G380" s="5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ht="12.75" customHeight="1">
      <c r="A381" s="9"/>
      <c r="B381" s="5"/>
      <c r="C381" s="9"/>
      <c r="D381" s="9"/>
      <c r="E381" s="9"/>
      <c r="F381" s="9"/>
      <c r="G381" s="5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ht="12.75" customHeight="1">
      <c r="A382" s="9"/>
      <c r="B382" s="5"/>
      <c r="C382" s="9"/>
      <c r="D382" s="9"/>
      <c r="E382" s="9"/>
      <c r="F382" s="9"/>
      <c r="G382" s="5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ht="12.75" customHeight="1">
      <c r="A383" s="9"/>
      <c r="B383" s="5"/>
      <c r="C383" s="9"/>
      <c r="D383" s="9"/>
      <c r="E383" s="9"/>
      <c r="F383" s="9"/>
      <c r="G383" s="5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ht="12.75" customHeight="1">
      <c r="A384" s="9"/>
      <c r="B384" s="5"/>
      <c r="C384" s="9"/>
      <c r="D384" s="9"/>
      <c r="E384" s="9"/>
      <c r="F384" s="9"/>
      <c r="G384" s="5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ht="12.75" customHeight="1">
      <c r="A385" s="9"/>
      <c r="B385" s="5"/>
      <c r="C385" s="9"/>
      <c r="D385" s="9"/>
      <c r="E385" s="9"/>
      <c r="F385" s="9"/>
      <c r="G385" s="5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ht="12.75" customHeight="1">
      <c r="A386" s="9"/>
      <c r="B386" s="5"/>
      <c r="C386" s="9"/>
      <c r="D386" s="9"/>
      <c r="E386" s="9"/>
      <c r="F386" s="9"/>
      <c r="G386" s="5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ht="12.75" customHeight="1">
      <c r="A387" s="9"/>
      <c r="B387" s="5"/>
      <c r="C387" s="9"/>
      <c r="D387" s="9"/>
      <c r="E387" s="9"/>
      <c r="F387" s="9"/>
      <c r="G387" s="5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ht="12.75" customHeight="1">
      <c r="A388" s="9"/>
      <c r="B388" s="5"/>
      <c r="C388" s="9"/>
      <c r="D388" s="9"/>
      <c r="E388" s="9"/>
      <c r="F388" s="9"/>
      <c r="G388" s="5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ht="12.75" customHeight="1">
      <c r="A389" s="9"/>
      <c r="B389" s="5"/>
      <c r="C389" s="9"/>
      <c r="D389" s="9"/>
      <c r="E389" s="9"/>
      <c r="F389" s="9"/>
      <c r="G389" s="5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ht="12.75" customHeight="1">
      <c r="A390" s="9"/>
      <c r="B390" s="5"/>
      <c r="C390" s="9"/>
      <c r="D390" s="9"/>
      <c r="E390" s="9"/>
      <c r="F390" s="9"/>
      <c r="G390" s="5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ht="12.75" customHeight="1">
      <c r="A391" s="9"/>
      <c r="B391" s="5"/>
      <c r="C391" s="9"/>
      <c r="D391" s="9"/>
      <c r="E391" s="9"/>
      <c r="F391" s="9"/>
      <c r="G391" s="5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ht="12.75" customHeight="1">
      <c r="A392" s="9"/>
      <c r="B392" s="5"/>
      <c r="C392" s="9"/>
      <c r="D392" s="9"/>
      <c r="E392" s="9"/>
      <c r="F392" s="9"/>
      <c r="G392" s="5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ht="12.75" customHeight="1">
      <c r="A393" s="9"/>
      <c r="B393" s="5"/>
      <c r="C393" s="9"/>
      <c r="D393" s="9"/>
      <c r="E393" s="9"/>
      <c r="F393" s="9"/>
      <c r="G393" s="5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ht="12.75" customHeight="1">
      <c r="A394" s="9"/>
      <c r="B394" s="5"/>
      <c r="C394" s="9"/>
      <c r="D394" s="9"/>
      <c r="E394" s="9"/>
      <c r="F394" s="9"/>
      <c r="G394" s="5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ht="12.75" customHeight="1">
      <c r="A395" s="9"/>
      <c r="B395" s="5"/>
      <c r="C395" s="9"/>
      <c r="D395" s="9"/>
      <c r="E395" s="9"/>
      <c r="F395" s="9"/>
      <c r="G395" s="5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ht="12.75" customHeight="1">
      <c r="A396" s="9"/>
      <c r="B396" s="5"/>
      <c r="C396" s="9"/>
      <c r="D396" s="9"/>
      <c r="E396" s="9"/>
      <c r="F396" s="9"/>
      <c r="G396" s="5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ht="12.75" customHeight="1">
      <c r="A397" s="9"/>
      <c r="B397" s="5"/>
      <c r="C397" s="9"/>
      <c r="D397" s="9"/>
      <c r="E397" s="9"/>
      <c r="F397" s="9"/>
      <c r="G397" s="5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ht="12.75" customHeight="1">
      <c r="A398" s="9"/>
      <c r="B398" s="5"/>
      <c r="C398" s="9"/>
      <c r="D398" s="9"/>
      <c r="E398" s="9"/>
      <c r="F398" s="9"/>
      <c r="G398" s="5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ht="12.75" customHeight="1">
      <c r="A399" s="9"/>
      <c r="B399" s="5"/>
      <c r="C399" s="9"/>
      <c r="D399" s="9"/>
      <c r="E399" s="9"/>
      <c r="F399" s="9"/>
      <c r="G399" s="5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ht="12.75" customHeight="1">
      <c r="A400" s="9"/>
      <c r="B400" s="5"/>
      <c r="C400" s="9"/>
      <c r="D400" s="9"/>
      <c r="E400" s="9"/>
      <c r="F400" s="9"/>
      <c r="G400" s="5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ht="12.75" customHeight="1">
      <c r="A401" s="9"/>
      <c r="B401" s="5"/>
      <c r="C401" s="9"/>
      <c r="D401" s="9"/>
      <c r="E401" s="9"/>
      <c r="F401" s="9"/>
      <c r="G401" s="5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ht="12.75" customHeight="1">
      <c r="A402" s="9"/>
      <c r="B402" s="5"/>
      <c r="C402" s="9"/>
      <c r="D402" s="9"/>
      <c r="E402" s="9"/>
      <c r="F402" s="9"/>
      <c r="G402" s="5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ht="12.75" customHeight="1">
      <c r="A403" s="9"/>
      <c r="B403" s="5"/>
      <c r="C403" s="9"/>
      <c r="D403" s="9"/>
      <c r="E403" s="9"/>
      <c r="F403" s="9"/>
      <c r="G403" s="5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ht="12.75" customHeight="1">
      <c r="A404" s="9"/>
      <c r="B404" s="5"/>
      <c r="C404" s="9"/>
      <c r="D404" s="9"/>
      <c r="E404" s="9"/>
      <c r="F404" s="9"/>
      <c r="G404" s="5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ht="12.75" customHeight="1">
      <c r="A405" s="9"/>
      <c r="B405" s="5"/>
      <c r="C405" s="9"/>
      <c r="D405" s="9"/>
      <c r="E405" s="9"/>
      <c r="F405" s="9"/>
      <c r="G405" s="5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ht="12.75" customHeight="1">
      <c r="A406" s="9"/>
      <c r="B406" s="5"/>
      <c r="C406" s="9"/>
      <c r="D406" s="9"/>
      <c r="E406" s="9"/>
      <c r="F406" s="9"/>
      <c r="G406" s="5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ht="12.75" customHeight="1">
      <c r="A407" s="9"/>
      <c r="B407" s="5"/>
      <c r="C407" s="9"/>
      <c r="D407" s="9"/>
      <c r="E407" s="9"/>
      <c r="F407" s="9"/>
      <c r="G407" s="5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ht="12.75" customHeight="1">
      <c r="A408" s="9"/>
      <c r="B408" s="5"/>
      <c r="C408" s="9"/>
      <c r="D408" s="9"/>
      <c r="E408" s="9"/>
      <c r="F408" s="9"/>
      <c r="G408" s="5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ht="12.75" customHeight="1">
      <c r="A409" s="9"/>
      <c r="B409" s="5"/>
      <c r="C409" s="9"/>
      <c r="D409" s="9"/>
      <c r="E409" s="9"/>
      <c r="F409" s="9"/>
      <c r="G409" s="5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ht="12.75" customHeight="1">
      <c r="A410" s="9"/>
      <c r="B410" s="5"/>
      <c r="C410" s="9"/>
      <c r="D410" s="9"/>
      <c r="E410" s="9"/>
      <c r="F410" s="9"/>
      <c r="G410" s="5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ht="12.75" customHeight="1">
      <c r="A411" s="9"/>
      <c r="B411" s="5"/>
      <c r="C411" s="9"/>
      <c r="D411" s="9"/>
      <c r="E411" s="9"/>
      <c r="F411" s="9"/>
      <c r="G411" s="5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ht="12.75" customHeight="1">
      <c r="A412" s="9"/>
      <c r="B412" s="5"/>
      <c r="C412" s="9"/>
      <c r="D412" s="9"/>
      <c r="E412" s="9"/>
      <c r="F412" s="9"/>
      <c r="G412" s="5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ht="12.75" customHeight="1">
      <c r="A413" s="9"/>
      <c r="B413" s="5"/>
      <c r="C413" s="9"/>
      <c r="D413" s="9"/>
      <c r="E413" s="9"/>
      <c r="F413" s="9"/>
      <c r="G413" s="5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ht="12.75" customHeight="1">
      <c r="A414" s="9"/>
      <c r="B414" s="5"/>
      <c r="C414" s="9"/>
      <c r="D414" s="9"/>
      <c r="E414" s="9"/>
      <c r="F414" s="9"/>
      <c r="G414" s="5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ht="12.75" customHeight="1">
      <c r="A415" s="9"/>
      <c r="B415" s="5"/>
      <c r="C415" s="9"/>
      <c r="D415" s="9"/>
      <c r="E415" s="9"/>
      <c r="F415" s="9"/>
      <c r="G415" s="5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ht="12.75" customHeight="1">
      <c r="A416" s="9"/>
      <c r="B416" s="5"/>
      <c r="C416" s="9"/>
      <c r="D416" s="9"/>
      <c r="E416" s="9"/>
      <c r="F416" s="9"/>
      <c r="G416" s="5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ht="12.75" customHeight="1">
      <c r="A417" s="9"/>
      <c r="B417" s="5"/>
      <c r="C417" s="9"/>
      <c r="D417" s="9"/>
      <c r="E417" s="9"/>
      <c r="F417" s="9"/>
      <c r="G417" s="5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ht="12.75" customHeight="1">
      <c r="A418" s="9"/>
      <c r="B418" s="5"/>
      <c r="C418" s="9"/>
      <c r="D418" s="9"/>
      <c r="E418" s="9"/>
      <c r="F418" s="9"/>
      <c r="G418" s="5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ht="12.75" customHeight="1">
      <c r="A419" s="9"/>
      <c r="B419" s="5"/>
      <c r="C419" s="9"/>
      <c r="D419" s="9"/>
      <c r="E419" s="9"/>
      <c r="F419" s="9"/>
      <c r="G419" s="5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ht="12.75" customHeight="1">
      <c r="A420" s="9"/>
      <c r="B420" s="5"/>
      <c r="C420" s="9"/>
      <c r="D420" s="9"/>
      <c r="E420" s="9"/>
      <c r="F420" s="9"/>
      <c r="G420" s="5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ht="12.75" customHeight="1">
      <c r="A421" s="9"/>
      <c r="B421" s="5"/>
      <c r="C421" s="9"/>
      <c r="D421" s="9"/>
      <c r="E421" s="9"/>
      <c r="F421" s="9"/>
      <c r="G421" s="5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ht="12.75" customHeight="1">
      <c r="A422" s="9"/>
      <c r="B422" s="5"/>
      <c r="C422" s="9"/>
      <c r="D422" s="9"/>
      <c r="E422" s="9"/>
      <c r="F422" s="9"/>
      <c r="G422" s="5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ht="12.75" customHeight="1">
      <c r="A423" s="9"/>
      <c r="B423" s="5"/>
      <c r="C423" s="9"/>
      <c r="D423" s="9"/>
      <c r="E423" s="9"/>
      <c r="F423" s="9"/>
      <c r="G423" s="5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ht="12.75" customHeight="1">
      <c r="A424" s="9"/>
      <c r="B424" s="5"/>
      <c r="C424" s="9"/>
      <c r="D424" s="9"/>
      <c r="E424" s="9"/>
      <c r="F424" s="9"/>
      <c r="G424" s="5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ht="12.75" customHeight="1">
      <c r="A425" s="9"/>
      <c r="B425" s="5"/>
      <c r="C425" s="9"/>
      <c r="D425" s="9"/>
      <c r="E425" s="9"/>
      <c r="F425" s="9"/>
      <c r="G425" s="5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ht="12.75" customHeight="1">
      <c r="A426" s="9"/>
      <c r="B426" s="5"/>
      <c r="C426" s="9"/>
      <c r="D426" s="9"/>
      <c r="E426" s="9"/>
      <c r="F426" s="9"/>
      <c r="G426" s="5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ht="12.75" customHeight="1">
      <c r="A427" s="9"/>
      <c r="B427" s="5"/>
      <c r="C427" s="9"/>
      <c r="D427" s="9"/>
      <c r="E427" s="9"/>
      <c r="F427" s="9"/>
      <c r="G427" s="5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ht="12.75" customHeight="1">
      <c r="A428" s="9"/>
      <c r="B428" s="5"/>
      <c r="C428" s="9"/>
      <c r="D428" s="9"/>
      <c r="E428" s="9"/>
      <c r="F428" s="9"/>
      <c r="G428" s="5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ht="12.75" customHeight="1">
      <c r="A429" s="9"/>
      <c r="B429" s="5"/>
      <c r="C429" s="9"/>
      <c r="D429" s="9"/>
      <c r="E429" s="9"/>
      <c r="F429" s="9"/>
      <c r="G429" s="5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ht="12.75" customHeight="1">
      <c r="A430" s="9"/>
      <c r="B430" s="5"/>
      <c r="C430" s="9"/>
      <c r="D430" s="9"/>
      <c r="E430" s="9"/>
      <c r="F430" s="9"/>
      <c r="G430" s="5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ht="12.75" customHeight="1">
      <c r="A431" s="9"/>
      <c r="B431" s="5"/>
      <c r="C431" s="9"/>
      <c r="D431" s="9"/>
      <c r="E431" s="9"/>
      <c r="F431" s="9"/>
      <c r="G431" s="5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ht="12.75" customHeight="1">
      <c r="A432" s="9"/>
      <c r="B432" s="5"/>
      <c r="C432" s="9"/>
      <c r="D432" s="9"/>
      <c r="E432" s="9"/>
      <c r="F432" s="9"/>
      <c r="G432" s="5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ht="12.75" customHeight="1">
      <c r="A433" s="9"/>
      <c r="B433" s="5"/>
      <c r="C433" s="9"/>
      <c r="D433" s="9"/>
      <c r="E433" s="9"/>
      <c r="F433" s="9"/>
      <c r="G433" s="5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ht="12.75" customHeight="1">
      <c r="A434" s="9"/>
      <c r="B434" s="5"/>
      <c r="C434" s="9"/>
      <c r="D434" s="9"/>
      <c r="E434" s="9"/>
      <c r="F434" s="9"/>
      <c r="G434" s="5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ht="12.75" customHeight="1">
      <c r="A435" s="9"/>
      <c r="B435" s="5"/>
      <c r="C435" s="9"/>
      <c r="D435" s="9"/>
      <c r="E435" s="9"/>
      <c r="F435" s="9"/>
      <c r="G435" s="5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ht="12.75" customHeight="1">
      <c r="A436" s="9"/>
      <c r="B436" s="5"/>
      <c r="C436" s="9"/>
      <c r="D436" s="9"/>
      <c r="E436" s="9"/>
      <c r="F436" s="9"/>
      <c r="G436" s="5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ht="12.75" customHeight="1">
      <c r="A437" s="9"/>
      <c r="B437" s="5"/>
      <c r="C437" s="9"/>
      <c r="D437" s="9"/>
      <c r="E437" s="9"/>
      <c r="F437" s="9"/>
      <c r="G437" s="5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ht="12.75" customHeight="1">
      <c r="A438" s="9"/>
      <c r="B438" s="5"/>
      <c r="C438" s="9"/>
      <c r="D438" s="9"/>
      <c r="E438" s="9"/>
      <c r="F438" s="9"/>
      <c r="G438" s="5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ht="12.75" customHeight="1">
      <c r="A439" s="9"/>
      <c r="B439" s="5"/>
      <c r="C439" s="9"/>
      <c r="D439" s="9"/>
      <c r="E439" s="9"/>
      <c r="F439" s="9"/>
      <c r="G439" s="5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ht="12.75" customHeight="1">
      <c r="A440" s="9"/>
      <c r="B440" s="5"/>
      <c r="C440" s="9"/>
      <c r="D440" s="9"/>
      <c r="E440" s="9"/>
      <c r="F440" s="9"/>
      <c r="G440" s="5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ht="12.75" customHeight="1">
      <c r="A441" s="9"/>
      <c r="B441" s="5"/>
      <c r="C441" s="9"/>
      <c r="D441" s="9"/>
      <c r="E441" s="9"/>
      <c r="F441" s="9"/>
      <c r="G441" s="5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ht="12.75" customHeight="1">
      <c r="A442" s="9"/>
      <c r="B442" s="5"/>
      <c r="C442" s="9"/>
      <c r="D442" s="9"/>
      <c r="E442" s="9"/>
      <c r="F442" s="9"/>
      <c r="G442" s="5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ht="12.75" customHeight="1">
      <c r="A443" s="9"/>
      <c r="B443" s="5"/>
      <c r="C443" s="9"/>
      <c r="D443" s="9"/>
      <c r="E443" s="9"/>
      <c r="F443" s="9"/>
      <c r="G443" s="5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ht="12.75" customHeight="1">
      <c r="A444" s="9"/>
      <c r="B444" s="5"/>
      <c r="C444" s="9"/>
      <c r="D444" s="9"/>
      <c r="E444" s="9"/>
      <c r="F444" s="9"/>
      <c r="G444" s="5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ht="12.75" customHeight="1">
      <c r="A445" s="9"/>
      <c r="B445" s="5"/>
      <c r="C445" s="9"/>
      <c r="D445" s="9"/>
      <c r="E445" s="9"/>
      <c r="F445" s="9"/>
      <c r="G445" s="5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ht="12.75" customHeight="1">
      <c r="A446" s="9"/>
      <c r="B446" s="5"/>
      <c r="C446" s="9"/>
      <c r="D446" s="9"/>
      <c r="E446" s="9"/>
      <c r="F446" s="9"/>
      <c r="G446" s="5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ht="12.75" customHeight="1">
      <c r="A447" s="9"/>
      <c r="B447" s="5"/>
      <c r="C447" s="9"/>
      <c r="D447" s="9"/>
      <c r="E447" s="9"/>
      <c r="F447" s="9"/>
      <c r="G447" s="5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ht="12.75" customHeight="1">
      <c r="A448" s="9"/>
      <c r="B448" s="5"/>
      <c r="C448" s="9"/>
      <c r="D448" s="9"/>
      <c r="E448" s="9"/>
      <c r="F448" s="9"/>
      <c r="G448" s="5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ht="12.75" customHeight="1">
      <c r="A449" s="9"/>
      <c r="B449" s="5"/>
      <c r="C449" s="9"/>
      <c r="D449" s="9"/>
      <c r="E449" s="9"/>
      <c r="F449" s="9"/>
      <c r="G449" s="5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ht="12.75" customHeight="1">
      <c r="A450" s="9"/>
      <c r="B450" s="5"/>
      <c r="C450" s="9"/>
      <c r="D450" s="9"/>
      <c r="E450" s="9"/>
      <c r="F450" s="9"/>
      <c r="G450" s="5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ht="12.75" customHeight="1">
      <c r="A451" s="9"/>
      <c r="B451" s="5"/>
      <c r="C451" s="9"/>
      <c r="D451" s="9"/>
      <c r="E451" s="9"/>
      <c r="F451" s="9"/>
      <c r="G451" s="5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ht="12.75" customHeight="1">
      <c r="A452" s="9"/>
      <c r="B452" s="5"/>
      <c r="C452" s="9"/>
      <c r="D452" s="9"/>
      <c r="E452" s="9"/>
      <c r="F452" s="9"/>
      <c r="G452" s="5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ht="12.75" customHeight="1">
      <c r="A453" s="9"/>
      <c r="B453" s="5"/>
      <c r="C453" s="9"/>
      <c r="D453" s="9"/>
      <c r="E453" s="9"/>
      <c r="F453" s="9"/>
      <c r="G453" s="5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ht="12.75" customHeight="1">
      <c r="A454" s="9"/>
      <c r="B454" s="5"/>
      <c r="C454" s="9"/>
      <c r="D454" s="9"/>
      <c r="E454" s="9"/>
      <c r="F454" s="9"/>
      <c r="G454" s="5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ht="12.75" customHeight="1">
      <c r="A455" s="9"/>
      <c r="B455" s="5"/>
      <c r="C455" s="9"/>
      <c r="D455" s="9"/>
      <c r="E455" s="9"/>
      <c r="F455" s="9"/>
      <c r="G455" s="5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ht="12.75" customHeight="1">
      <c r="A456" s="9"/>
      <c r="B456" s="5"/>
      <c r="C456" s="9"/>
      <c r="D456" s="9"/>
      <c r="E456" s="9"/>
      <c r="F456" s="9"/>
      <c r="G456" s="5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ht="12.75" customHeight="1">
      <c r="A457" s="9"/>
      <c r="B457" s="5"/>
      <c r="C457" s="9"/>
      <c r="D457" s="9"/>
      <c r="E457" s="9"/>
      <c r="F457" s="9"/>
      <c r="G457" s="5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ht="12.75" customHeight="1">
      <c r="A458" s="9"/>
      <c r="B458" s="5"/>
      <c r="C458" s="9"/>
      <c r="D458" s="9"/>
      <c r="E458" s="9"/>
      <c r="F458" s="9"/>
      <c r="G458" s="5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ht="12.75" customHeight="1">
      <c r="A459" s="9"/>
      <c r="B459" s="5"/>
      <c r="C459" s="9"/>
      <c r="D459" s="9"/>
      <c r="E459" s="9"/>
      <c r="F459" s="9"/>
      <c r="G459" s="5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ht="12.75" customHeight="1">
      <c r="A460" s="9"/>
      <c r="B460" s="5"/>
      <c r="C460" s="9"/>
      <c r="D460" s="9"/>
      <c r="E460" s="9"/>
      <c r="F460" s="9"/>
      <c r="G460" s="5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ht="12.75" customHeight="1">
      <c r="A461" s="9"/>
      <c r="B461" s="5"/>
      <c r="C461" s="9"/>
      <c r="D461" s="9"/>
      <c r="E461" s="9"/>
      <c r="F461" s="9"/>
      <c r="G461" s="5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ht="12.75" customHeight="1">
      <c r="A462" s="9"/>
      <c r="B462" s="5"/>
      <c r="C462" s="9"/>
      <c r="D462" s="9"/>
      <c r="E462" s="9"/>
      <c r="F462" s="9"/>
      <c r="G462" s="5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ht="12.75" customHeight="1">
      <c r="A463" s="9"/>
      <c r="B463" s="5"/>
      <c r="C463" s="9"/>
      <c r="D463" s="9"/>
      <c r="E463" s="9"/>
      <c r="F463" s="9"/>
      <c r="G463" s="5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ht="12.75" customHeight="1">
      <c r="A464" s="9"/>
      <c r="B464" s="5"/>
      <c r="C464" s="9"/>
      <c r="D464" s="9"/>
      <c r="E464" s="9"/>
      <c r="F464" s="9"/>
      <c r="G464" s="5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ht="12.75" customHeight="1">
      <c r="A465" s="9"/>
      <c r="B465" s="5"/>
      <c r="C465" s="9"/>
      <c r="D465" s="9"/>
      <c r="E465" s="9"/>
      <c r="F465" s="9"/>
      <c r="G465" s="5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ht="12.75" customHeight="1">
      <c r="A466" s="9"/>
      <c r="B466" s="5"/>
      <c r="C466" s="9"/>
      <c r="D466" s="9"/>
      <c r="E466" s="9"/>
      <c r="F466" s="9"/>
      <c r="G466" s="5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ht="12.75" customHeight="1">
      <c r="A467" s="9"/>
      <c r="B467" s="5"/>
      <c r="C467" s="9"/>
      <c r="D467" s="9"/>
      <c r="E467" s="9"/>
      <c r="F467" s="9"/>
      <c r="G467" s="5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ht="12.75" customHeight="1">
      <c r="A468" s="9"/>
      <c r="B468" s="5"/>
      <c r="C468" s="9"/>
      <c r="D468" s="9"/>
      <c r="E468" s="9"/>
      <c r="F468" s="9"/>
      <c r="G468" s="5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ht="12.75" customHeight="1">
      <c r="A469" s="9"/>
      <c r="B469" s="5"/>
      <c r="C469" s="9"/>
      <c r="D469" s="9"/>
      <c r="E469" s="9"/>
      <c r="F469" s="9"/>
      <c r="G469" s="5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ht="12.75" customHeight="1">
      <c r="A470" s="9"/>
      <c r="B470" s="5"/>
      <c r="C470" s="9"/>
      <c r="D470" s="9"/>
      <c r="E470" s="9"/>
      <c r="F470" s="9"/>
      <c r="G470" s="5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ht="12.75" customHeight="1">
      <c r="A471" s="9"/>
      <c r="B471" s="5"/>
      <c r="C471" s="9"/>
      <c r="D471" s="9"/>
      <c r="E471" s="9"/>
      <c r="F471" s="9"/>
      <c r="G471" s="5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ht="12.75" customHeight="1">
      <c r="A472" s="9"/>
      <c r="B472" s="5"/>
      <c r="C472" s="9"/>
      <c r="D472" s="9"/>
      <c r="E472" s="9"/>
      <c r="F472" s="9"/>
      <c r="G472" s="5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ht="12.75" customHeight="1">
      <c r="A473" s="9"/>
      <c r="B473" s="5"/>
      <c r="C473" s="9"/>
      <c r="D473" s="9"/>
      <c r="E473" s="9"/>
      <c r="F473" s="9"/>
      <c r="G473" s="5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ht="12.75" customHeight="1">
      <c r="A474" s="9"/>
      <c r="B474" s="5"/>
      <c r="C474" s="9"/>
      <c r="D474" s="9"/>
      <c r="E474" s="9"/>
      <c r="F474" s="9"/>
      <c r="G474" s="5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ht="12.75" customHeight="1">
      <c r="A475" s="9"/>
      <c r="B475" s="5"/>
      <c r="C475" s="9"/>
      <c r="D475" s="9"/>
      <c r="E475" s="9"/>
      <c r="F475" s="9"/>
      <c r="G475" s="5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ht="12.75" customHeight="1">
      <c r="A476" s="9"/>
      <c r="B476" s="5"/>
      <c r="C476" s="9"/>
      <c r="D476" s="9"/>
      <c r="E476" s="9"/>
      <c r="F476" s="9"/>
      <c r="G476" s="5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ht="12.75" customHeight="1">
      <c r="A477" s="9"/>
      <c r="B477" s="5"/>
      <c r="C477" s="9"/>
      <c r="D477" s="9"/>
      <c r="E477" s="9"/>
      <c r="F477" s="9"/>
      <c r="G477" s="5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ht="12.75" customHeight="1">
      <c r="A478" s="9"/>
      <c r="B478" s="5"/>
      <c r="C478" s="9"/>
      <c r="D478" s="9"/>
      <c r="E478" s="9"/>
      <c r="F478" s="9"/>
      <c r="G478" s="5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ht="12.75" customHeight="1">
      <c r="A479" s="9"/>
      <c r="B479" s="5"/>
      <c r="C479" s="9"/>
      <c r="D479" s="9"/>
      <c r="E479" s="9"/>
      <c r="F479" s="9"/>
      <c r="G479" s="5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ht="12.75" customHeight="1">
      <c r="A480" s="9"/>
      <c r="B480" s="5"/>
      <c r="C480" s="9"/>
      <c r="D480" s="9"/>
      <c r="E480" s="9"/>
      <c r="F480" s="9"/>
      <c r="G480" s="5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ht="12.75" customHeight="1">
      <c r="A481" s="9"/>
      <c r="B481" s="5"/>
      <c r="C481" s="9"/>
      <c r="D481" s="9"/>
      <c r="E481" s="9"/>
      <c r="F481" s="9"/>
      <c r="G481" s="5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ht="12.75" customHeight="1">
      <c r="A482" s="9"/>
      <c r="B482" s="5"/>
      <c r="C482" s="9"/>
      <c r="D482" s="9"/>
      <c r="E482" s="9"/>
      <c r="F482" s="9"/>
      <c r="G482" s="5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ht="12.75" customHeight="1">
      <c r="A483" s="9"/>
      <c r="B483" s="5"/>
      <c r="C483" s="9"/>
      <c r="D483" s="9"/>
      <c r="E483" s="9"/>
      <c r="F483" s="9"/>
      <c r="G483" s="5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ht="12.75" customHeight="1">
      <c r="A484" s="9"/>
      <c r="B484" s="5"/>
      <c r="C484" s="9"/>
      <c r="D484" s="9"/>
      <c r="E484" s="9"/>
      <c r="F484" s="9"/>
      <c r="G484" s="5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ht="12.75" customHeight="1">
      <c r="A485" s="9"/>
      <c r="B485" s="5"/>
      <c r="C485" s="9"/>
      <c r="D485" s="9"/>
      <c r="E485" s="9"/>
      <c r="F485" s="9"/>
      <c r="G485" s="5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ht="12.75" customHeight="1">
      <c r="A486" s="9"/>
      <c r="B486" s="5"/>
      <c r="C486" s="9"/>
      <c r="D486" s="9"/>
      <c r="E486" s="9"/>
      <c r="F486" s="9"/>
      <c r="G486" s="5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ht="12.75" customHeight="1">
      <c r="A487" s="9"/>
      <c r="B487" s="5"/>
      <c r="C487" s="9"/>
      <c r="D487" s="9"/>
      <c r="E487" s="9"/>
      <c r="F487" s="9"/>
      <c r="G487" s="5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ht="12.75" customHeight="1">
      <c r="A488" s="9"/>
      <c r="B488" s="5"/>
      <c r="C488" s="9"/>
      <c r="D488" s="9"/>
      <c r="E488" s="9"/>
      <c r="F488" s="9"/>
      <c r="G488" s="5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ht="12.75" customHeight="1">
      <c r="A489" s="9"/>
      <c r="B489" s="5"/>
      <c r="C489" s="9"/>
      <c r="D489" s="9"/>
      <c r="E489" s="9"/>
      <c r="F489" s="9"/>
      <c r="G489" s="5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ht="12.75" customHeight="1">
      <c r="A490" s="9"/>
      <c r="B490" s="5"/>
      <c r="C490" s="9"/>
      <c r="D490" s="9"/>
      <c r="E490" s="9"/>
      <c r="F490" s="9"/>
      <c r="G490" s="5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ht="12.75" customHeight="1">
      <c r="A491" s="9"/>
      <c r="B491" s="5"/>
      <c r="C491" s="9"/>
      <c r="D491" s="9"/>
      <c r="E491" s="9"/>
      <c r="F491" s="9"/>
      <c r="G491" s="5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ht="12.75" customHeight="1">
      <c r="A492" s="9"/>
      <c r="B492" s="5"/>
      <c r="C492" s="9"/>
      <c r="D492" s="9"/>
      <c r="E492" s="9"/>
      <c r="F492" s="9"/>
      <c r="G492" s="5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ht="12.75" customHeight="1">
      <c r="A493" s="9"/>
      <c r="B493" s="5"/>
      <c r="C493" s="9"/>
      <c r="D493" s="9"/>
      <c r="E493" s="9"/>
      <c r="F493" s="9"/>
      <c r="G493" s="5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ht="12.75" customHeight="1">
      <c r="A494" s="9"/>
      <c r="B494" s="5"/>
      <c r="C494" s="9"/>
      <c r="D494" s="9"/>
      <c r="E494" s="9"/>
      <c r="F494" s="9"/>
      <c r="G494" s="5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ht="12.75" customHeight="1">
      <c r="A495" s="9"/>
      <c r="B495" s="5"/>
      <c r="C495" s="9"/>
      <c r="D495" s="9"/>
      <c r="E495" s="9"/>
      <c r="F495" s="9"/>
      <c r="G495" s="5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ht="12.75" customHeight="1">
      <c r="A496" s="9"/>
      <c r="B496" s="5"/>
      <c r="C496" s="9"/>
      <c r="D496" s="9"/>
      <c r="E496" s="9"/>
      <c r="F496" s="9"/>
      <c r="G496" s="5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ht="12.75" customHeight="1">
      <c r="A497" s="9"/>
      <c r="B497" s="5"/>
      <c r="C497" s="9"/>
      <c r="D497" s="9"/>
      <c r="E497" s="9"/>
      <c r="F497" s="9"/>
      <c r="G497" s="5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ht="12.75" customHeight="1">
      <c r="A498" s="9"/>
      <c r="B498" s="5"/>
      <c r="C498" s="9"/>
      <c r="D498" s="9"/>
      <c r="E498" s="9"/>
      <c r="F498" s="9"/>
      <c r="G498" s="5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ht="12.75" customHeight="1">
      <c r="A499" s="9"/>
      <c r="B499" s="5"/>
      <c r="C499" s="9"/>
      <c r="D499" s="9"/>
      <c r="E499" s="9"/>
      <c r="F499" s="9"/>
      <c r="G499" s="5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ht="12.75" customHeight="1">
      <c r="A500" s="9"/>
      <c r="B500" s="5"/>
      <c r="C500" s="9"/>
      <c r="D500" s="9"/>
      <c r="E500" s="9"/>
      <c r="F500" s="9"/>
      <c r="G500" s="5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ht="12.75" customHeight="1">
      <c r="A501" s="9"/>
      <c r="B501" s="5"/>
      <c r="C501" s="9"/>
      <c r="D501" s="9"/>
      <c r="E501" s="9"/>
      <c r="F501" s="9"/>
      <c r="G501" s="5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ht="12.75" customHeight="1">
      <c r="A502" s="9"/>
      <c r="B502" s="5"/>
      <c r="C502" s="9"/>
      <c r="D502" s="9"/>
      <c r="E502" s="9"/>
      <c r="F502" s="9"/>
      <c r="G502" s="5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ht="12.75" customHeight="1">
      <c r="A503" s="9"/>
      <c r="B503" s="5"/>
      <c r="C503" s="9"/>
      <c r="D503" s="9"/>
      <c r="E503" s="9"/>
      <c r="F503" s="9"/>
      <c r="G503" s="5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ht="12.75" customHeight="1">
      <c r="A504" s="9"/>
      <c r="B504" s="5"/>
      <c r="C504" s="9"/>
      <c r="D504" s="9"/>
      <c r="E504" s="9"/>
      <c r="F504" s="9"/>
      <c r="G504" s="5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ht="12.75" customHeight="1">
      <c r="A505" s="9"/>
      <c r="B505" s="5"/>
      <c r="C505" s="9"/>
      <c r="D505" s="9"/>
      <c r="E505" s="9"/>
      <c r="F505" s="9"/>
      <c r="G505" s="5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ht="12.75" customHeight="1">
      <c r="A506" s="9"/>
      <c r="B506" s="5"/>
      <c r="C506" s="9"/>
      <c r="D506" s="9"/>
      <c r="E506" s="9"/>
      <c r="F506" s="9"/>
      <c r="G506" s="5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ht="12.75" customHeight="1">
      <c r="A507" s="9"/>
      <c r="B507" s="5"/>
      <c r="C507" s="9"/>
      <c r="D507" s="9"/>
      <c r="E507" s="9"/>
      <c r="F507" s="9"/>
      <c r="G507" s="5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ht="12.75" customHeight="1">
      <c r="A508" s="9"/>
      <c r="B508" s="5"/>
      <c r="C508" s="9"/>
      <c r="D508" s="9"/>
      <c r="E508" s="9"/>
      <c r="F508" s="9"/>
      <c r="G508" s="5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ht="12.75" customHeight="1">
      <c r="A509" s="9"/>
      <c r="B509" s="5"/>
      <c r="C509" s="9"/>
      <c r="D509" s="9"/>
      <c r="E509" s="9"/>
      <c r="F509" s="9"/>
      <c r="G509" s="5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ht="12.75" customHeight="1">
      <c r="A510" s="9"/>
      <c r="B510" s="5"/>
      <c r="C510" s="9"/>
      <c r="D510" s="9"/>
      <c r="E510" s="9"/>
      <c r="F510" s="9"/>
      <c r="G510" s="5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ht="12.75" customHeight="1">
      <c r="A511" s="9"/>
      <c r="B511" s="5"/>
      <c r="C511" s="9"/>
      <c r="D511" s="9"/>
      <c r="E511" s="9"/>
      <c r="F511" s="9"/>
      <c r="G511" s="5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ht="12.75" customHeight="1">
      <c r="A512" s="9"/>
      <c r="B512" s="5"/>
      <c r="C512" s="9"/>
      <c r="D512" s="9"/>
      <c r="E512" s="9"/>
      <c r="F512" s="9"/>
      <c r="G512" s="5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ht="12.75" customHeight="1">
      <c r="A513" s="9"/>
      <c r="B513" s="5"/>
      <c r="C513" s="9"/>
      <c r="D513" s="9"/>
      <c r="E513" s="9"/>
      <c r="F513" s="9"/>
      <c r="G513" s="5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ht="12.75" customHeight="1">
      <c r="A514" s="9"/>
      <c r="B514" s="5"/>
      <c r="C514" s="9"/>
      <c r="D514" s="9"/>
      <c r="E514" s="9"/>
      <c r="F514" s="9"/>
      <c r="G514" s="5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ht="12.75" customHeight="1">
      <c r="A515" s="9"/>
      <c r="B515" s="5"/>
      <c r="C515" s="9"/>
      <c r="D515" s="9"/>
      <c r="E515" s="9"/>
      <c r="F515" s="9"/>
      <c r="G515" s="5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ht="12.75" customHeight="1">
      <c r="A516" s="9"/>
      <c r="B516" s="5"/>
      <c r="C516" s="9"/>
      <c r="D516" s="9"/>
      <c r="E516" s="9"/>
      <c r="F516" s="9"/>
      <c r="G516" s="5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ht="12.75" customHeight="1">
      <c r="A517" s="9"/>
      <c r="B517" s="5"/>
      <c r="C517" s="9"/>
      <c r="D517" s="9"/>
      <c r="E517" s="9"/>
      <c r="F517" s="9"/>
      <c r="G517" s="5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ht="12.75" customHeight="1">
      <c r="A518" s="9"/>
      <c r="B518" s="5"/>
      <c r="C518" s="9"/>
      <c r="D518" s="9"/>
      <c r="E518" s="9"/>
      <c r="F518" s="9"/>
      <c r="G518" s="5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ht="12.75" customHeight="1">
      <c r="A519" s="9"/>
      <c r="B519" s="5"/>
      <c r="C519" s="9"/>
      <c r="D519" s="9"/>
      <c r="E519" s="9"/>
      <c r="F519" s="9"/>
      <c r="G519" s="5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ht="12.75" customHeight="1">
      <c r="A520" s="9"/>
      <c r="B520" s="5"/>
      <c r="C520" s="9"/>
      <c r="D520" s="9"/>
      <c r="E520" s="9"/>
      <c r="F520" s="9"/>
      <c r="G520" s="5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ht="12.75" customHeight="1">
      <c r="A521" s="9"/>
      <c r="B521" s="5"/>
      <c r="C521" s="9"/>
      <c r="D521" s="9"/>
      <c r="E521" s="9"/>
      <c r="F521" s="9"/>
      <c r="G521" s="5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ht="12.75" customHeight="1">
      <c r="A522" s="9"/>
      <c r="B522" s="5"/>
      <c r="C522" s="9"/>
      <c r="D522" s="9"/>
      <c r="E522" s="9"/>
      <c r="F522" s="9"/>
      <c r="G522" s="5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ht="12.75" customHeight="1">
      <c r="A523" s="9"/>
      <c r="B523" s="5"/>
      <c r="C523" s="9"/>
      <c r="D523" s="9"/>
      <c r="E523" s="9"/>
      <c r="F523" s="9"/>
      <c r="G523" s="5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ht="12.75" customHeight="1">
      <c r="A524" s="9"/>
      <c r="B524" s="5"/>
      <c r="C524" s="9"/>
      <c r="D524" s="9"/>
      <c r="E524" s="9"/>
      <c r="F524" s="9"/>
      <c r="G524" s="5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ht="12.75" customHeight="1">
      <c r="A525" s="9"/>
      <c r="B525" s="5"/>
      <c r="C525" s="9"/>
      <c r="D525" s="9"/>
      <c r="E525" s="9"/>
      <c r="F525" s="9"/>
      <c r="G525" s="5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ht="12.75" customHeight="1">
      <c r="A526" s="9"/>
      <c r="B526" s="5"/>
      <c r="C526" s="9"/>
      <c r="D526" s="9"/>
      <c r="E526" s="9"/>
      <c r="F526" s="9"/>
      <c r="G526" s="5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ht="12.75" customHeight="1">
      <c r="A527" s="9"/>
      <c r="B527" s="5"/>
      <c r="C527" s="9"/>
      <c r="D527" s="9"/>
      <c r="E527" s="9"/>
      <c r="F527" s="9"/>
      <c r="G527" s="5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ht="12.75" customHeight="1">
      <c r="A528" s="9"/>
      <c r="B528" s="5"/>
      <c r="C528" s="9"/>
      <c r="D528" s="9"/>
      <c r="E528" s="9"/>
      <c r="F528" s="9"/>
      <c r="G528" s="5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ht="12.75" customHeight="1">
      <c r="A529" s="9"/>
      <c r="B529" s="5"/>
      <c r="C529" s="9"/>
      <c r="D529" s="9"/>
      <c r="E529" s="9"/>
      <c r="F529" s="9"/>
      <c r="G529" s="5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ht="12.75" customHeight="1">
      <c r="A530" s="9"/>
      <c r="B530" s="5"/>
      <c r="C530" s="9"/>
      <c r="D530" s="9"/>
      <c r="E530" s="9"/>
      <c r="F530" s="9"/>
      <c r="G530" s="5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ht="12.75" customHeight="1">
      <c r="A531" s="9"/>
      <c r="B531" s="5"/>
      <c r="C531" s="9"/>
      <c r="D531" s="9"/>
      <c r="E531" s="9"/>
      <c r="F531" s="9"/>
      <c r="G531" s="5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ht="12.75" customHeight="1">
      <c r="A532" s="9"/>
      <c r="B532" s="5"/>
      <c r="C532" s="9"/>
      <c r="D532" s="9"/>
      <c r="E532" s="9"/>
      <c r="F532" s="9"/>
      <c r="G532" s="5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ht="12.75" customHeight="1">
      <c r="A533" s="9"/>
      <c r="B533" s="5"/>
      <c r="C533" s="9"/>
      <c r="D533" s="9"/>
      <c r="E533" s="9"/>
      <c r="F533" s="9"/>
      <c r="G533" s="5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ht="12.75" customHeight="1">
      <c r="A534" s="9"/>
      <c r="B534" s="5"/>
      <c r="C534" s="9"/>
      <c r="D534" s="9"/>
      <c r="E534" s="9"/>
      <c r="F534" s="9"/>
      <c r="G534" s="5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ht="12.75" customHeight="1">
      <c r="A535" s="9"/>
      <c r="B535" s="5"/>
      <c r="C535" s="9"/>
      <c r="D535" s="9"/>
      <c r="E535" s="9"/>
      <c r="F535" s="9"/>
      <c r="G535" s="5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ht="12.75" customHeight="1">
      <c r="A536" s="9"/>
      <c r="B536" s="5"/>
      <c r="C536" s="9"/>
      <c r="D536" s="9"/>
      <c r="E536" s="9"/>
      <c r="F536" s="9"/>
      <c r="G536" s="5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ht="12.75" customHeight="1">
      <c r="A537" s="9"/>
      <c r="B537" s="5"/>
      <c r="C537" s="9"/>
      <c r="D537" s="9"/>
      <c r="E537" s="9"/>
      <c r="F537" s="9"/>
      <c r="G537" s="5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ht="12.75" customHeight="1">
      <c r="A538" s="9"/>
      <c r="B538" s="5"/>
      <c r="C538" s="9"/>
      <c r="D538" s="9"/>
      <c r="E538" s="9"/>
      <c r="F538" s="9"/>
      <c r="G538" s="5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ht="12.75" customHeight="1">
      <c r="A539" s="9"/>
      <c r="B539" s="5"/>
      <c r="C539" s="9"/>
      <c r="D539" s="9"/>
      <c r="E539" s="9"/>
      <c r="F539" s="9"/>
      <c r="G539" s="5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ht="12.75" customHeight="1">
      <c r="A540" s="9"/>
      <c r="B540" s="5"/>
      <c r="C540" s="9"/>
      <c r="D540" s="9"/>
      <c r="E540" s="9"/>
      <c r="F540" s="9"/>
      <c r="G540" s="5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ht="12.75" customHeight="1">
      <c r="A541" s="9"/>
      <c r="B541" s="5"/>
      <c r="C541" s="9"/>
      <c r="D541" s="9"/>
      <c r="E541" s="9"/>
      <c r="F541" s="9"/>
      <c r="G541" s="5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ht="12.75" customHeight="1">
      <c r="A542" s="9"/>
      <c r="B542" s="5"/>
      <c r="C542" s="9"/>
      <c r="D542" s="9"/>
      <c r="E542" s="9"/>
      <c r="F542" s="9"/>
      <c r="G542" s="5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ht="12.75" customHeight="1">
      <c r="A543" s="9"/>
      <c r="B543" s="5"/>
      <c r="C543" s="9"/>
      <c r="D543" s="9"/>
      <c r="E543" s="9"/>
      <c r="F543" s="9"/>
      <c r="G543" s="5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ht="12.75" customHeight="1">
      <c r="A544" s="9"/>
      <c r="B544" s="5"/>
      <c r="C544" s="9"/>
      <c r="D544" s="9"/>
      <c r="E544" s="9"/>
      <c r="F544" s="9"/>
      <c r="G544" s="5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ht="12.75" customHeight="1">
      <c r="A545" s="9"/>
      <c r="B545" s="5"/>
      <c r="C545" s="9"/>
      <c r="D545" s="9"/>
      <c r="E545" s="9"/>
      <c r="F545" s="9"/>
      <c r="G545" s="5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ht="12.75" customHeight="1">
      <c r="A546" s="9"/>
      <c r="B546" s="5"/>
      <c r="C546" s="9"/>
      <c r="D546" s="9"/>
      <c r="E546" s="9"/>
      <c r="F546" s="9"/>
      <c r="G546" s="5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ht="12.75" customHeight="1">
      <c r="A547" s="9"/>
      <c r="B547" s="5"/>
      <c r="C547" s="9"/>
      <c r="D547" s="9"/>
      <c r="E547" s="9"/>
      <c r="F547" s="9"/>
      <c r="G547" s="5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ht="12.75" customHeight="1">
      <c r="A548" s="9"/>
      <c r="B548" s="5"/>
      <c r="C548" s="9"/>
      <c r="D548" s="9"/>
      <c r="E548" s="9"/>
      <c r="F548" s="9"/>
      <c r="G548" s="5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ht="12.75" customHeight="1">
      <c r="A549" s="9"/>
      <c r="B549" s="5"/>
      <c r="C549" s="9"/>
      <c r="D549" s="9"/>
      <c r="E549" s="9"/>
      <c r="F549" s="9"/>
      <c r="G549" s="5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ht="12.75" customHeight="1">
      <c r="A550" s="9"/>
      <c r="B550" s="5"/>
      <c r="C550" s="9"/>
      <c r="D550" s="9"/>
      <c r="E550" s="9"/>
      <c r="F550" s="9"/>
      <c r="G550" s="5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ht="12.75" customHeight="1">
      <c r="A551" s="9"/>
      <c r="B551" s="5"/>
      <c r="C551" s="9"/>
      <c r="D551" s="9"/>
      <c r="E551" s="9"/>
      <c r="F551" s="9"/>
      <c r="G551" s="5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ht="12.75" customHeight="1">
      <c r="A552" s="9"/>
      <c r="B552" s="5"/>
      <c r="C552" s="9"/>
      <c r="D552" s="9"/>
      <c r="E552" s="9"/>
      <c r="F552" s="9"/>
      <c r="G552" s="5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ht="12.75" customHeight="1">
      <c r="A553" s="9"/>
      <c r="B553" s="5"/>
      <c r="C553" s="9"/>
      <c r="D553" s="9"/>
      <c r="E553" s="9"/>
      <c r="F553" s="9"/>
      <c r="G553" s="5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ht="12.75" customHeight="1">
      <c r="A554" s="9"/>
      <c r="B554" s="5"/>
      <c r="C554" s="9"/>
      <c r="D554" s="9"/>
      <c r="E554" s="9"/>
      <c r="F554" s="9"/>
      <c r="G554" s="5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ht="12.75" customHeight="1">
      <c r="A555" s="9"/>
      <c r="B555" s="5"/>
      <c r="C555" s="9"/>
      <c r="D555" s="9"/>
      <c r="E555" s="9"/>
      <c r="F555" s="9"/>
      <c r="G555" s="5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ht="12.75" customHeight="1">
      <c r="A556" s="9"/>
      <c r="B556" s="5"/>
      <c r="C556" s="9"/>
      <c r="D556" s="9"/>
      <c r="E556" s="9"/>
      <c r="F556" s="9"/>
      <c r="G556" s="5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ht="12.75" customHeight="1">
      <c r="A557" s="9"/>
      <c r="B557" s="5"/>
      <c r="C557" s="9"/>
      <c r="D557" s="9"/>
      <c r="E557" s="9"/>
      <c r="F557" s="9"/>
      <c r="G557" s="5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ht="12.75" customHeight="1">
      <c r="A558" s="9"/>
      <c r="B558" s="5"/>
      <c r="C558" s="9"/>
      <c r="D558" s="9"/>
      <c r="E558" s="9"/>
      <c r="F558" s="9"/>
      <c r="G558" s="5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ht="12.75" customHeight="1">
      <c r="A559" s="9"/>
      <c r="B559" s="5"/>
      <c r="C559" s="9"/>
      <c r="D559" s="9"/>
      <c r="E559" s="9"/>
      <c r="F559" s="9"/>
      <c r="G559" s="5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ht="12.75" customHeight="1">
      <c r="A560" s="9"/>
      <c r="B560" s="5"/>
      <c r="C560" s="9"/>
      <c r="D560" s="9"/>
      <c r="E560" s="9"/>
      <c r="F560" s="9"/>
      <c r="G560" s="5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ht="12.75" customHeight="1">
      <c r="A561" s="9"/>
      <c r="B561" s="5"/>
      <c r="C561" s="9"/>
      <c r="D561" s="9"/>
      <c r="E561" s="9"/>
      <c r="F561" s="9"/>
      <c r="G561" s="5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ht="12.75" customHeight="1">
      <c r="A562" s="9"/>
      <c r="B562" s="5"/>
      <c r="C562" s="9"/>
      <c r="D562" s="9"/>
      <c r="E562" s="9"/>
      <c r="F562" s="9"/>
      <c r="G562" s="5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ht="12.75" customHeight="1">
      <c r="A563" s="9"/>
      <c r="B563" s="5"/>
      <c r="C563" s="9"/>
      <c r="D563" s="9"/>
      <c r="E563" s="9"/>
      <c r="F563" s="9"/>
      <c r="G563" s="5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ht="12.75" customHeight="1">
      <c r="A564" s="9"/>
      <c r="B564" s="5"/>
      <c r="C564" s="9"/>
      <c r="D564" s="9"/>
      <c r="E564" s="9"/>
      <c r="F564" s="9"/>
      <c r="G564" s="5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ht="12.75" customHeight="1">
      <c r="A565" s="9"/>
      <c r="B565" s="5"/>
      <c r="C565" s="9"/>
      <c r="D565" s="9"/>
      <c r="E565" s="9"/>
      <c r="F565" s="9"/>
      <c r="G565" s="5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ht="12.75" customHeight="1">
      <c r="A566" s="9"/>
      <c r="B566" s="5"/>
      <c r="C566" s="9"/>
      <c r="D566" s="9"/>
      <c r="E566" s="9"/>
      <c r="F566" s="9"/>
      <c r="G566" s="5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ht="12.75" customHeight="1">
      <c r="A567" s="9"/>
      <c r="B567" s="5"/>
      <c r="C567" s="9"/>
      <c r="D567" s="9"/>
      <c r="E567" s="9"/>
      <c r="F567" s="9"/>
      <c r="G567" s="5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ht="12.75" customHeight="1">
      <c r="A568" s="9"/>
      <c r="B568" s="5"/>
      <c r="C568" s="9"/>
      <c r="D568" s="9"/>
      <c r="E568" s="9"/>
      <c r="F568" s="9"/>
      <c r="G568" s="5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ht="12.75" customHeight="1">
      <c r="A569" s="9"/>
      <c r="B569" s="5"/>
      <c r="C569" s="9"/>
      <c r="D569" s="9"/>
      <c r="E569" s="9"/>
      <c r="F569" s="9"/>
      <c r="G569" s="5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ht="12.75" customHeight="1">
      <c r="A570" s="9"/>
      <c r="B570" s="5"/>
      <c r="C570" s="9"/>
      <c r="D570" s="9"/>
      <c r="E570" s="9"/>
      <c r="F570" s="9"/>
      <c r="G570" s="5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ht="12.75" customHeight="1">
      <c r="A571" s="9"/>
      <c r="B571" s="5"/>
      <c r="C571" s="9"/>
      <c r="D571" s="9"/>
      <c r="E571" s="9"/>
      <c r="F571" s="9"/>
      <c r="G571" s="5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ht="12.75" customHeight="1">
      <c r="A572" s="9"/>
      <c r="B572" s="5"/>
      <c r="C572" s="9"/>
      <c r="D572" s="9"/>
      <c r="E572" s="9"/>
      <c r="F572" s="9"/>
      <c r="G572" s="5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ht="12.75" customHeight="1">
      <c r="A573" s="9"/>
      <c r="B573" s="5"/>
      <c r="C573" s="9"/>
      <c r="D573" s="9"/>
      <c r="E573" s="9"/>
      <c r="F573" s="9"/>
      <c r="G573" s="5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ht="12.75" customHeight="1">
      <c r="A574" s="9"/>
      <c r="B574" s="5"/>
      <c r="C574" s="9"/>
      <c r="D574" s="9"/>
      <c r="E574" s="9"/>
      <c r="F574" s="9"/>
      <c r="G574" s="5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ht="12.75" customHeight="1">
      <c r="A575" s="9"/>
      <c r="B575" s="5"/>
      <c r="C575" s="9"/>
      <c r="D575" s="9"/>
      <c r="E575" s="9"/>
      <c r="F575" s="9"/>
      <c r="G575" s="5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ht="12.75" customHeight="1">
      <c r="A576" s="9"/>
      <c r="B576" s="5"/>
      <c r="C576" s="9"/>
      <c r="D576" s="9"/>
      <c r="E576" s="9"/>
      <c r="F576" s="9"/>
      <c r="G576" s="5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ht="12.75" customHeight="1">
      <c r="A577" s="9"/>
      <c r="B577" s="5"/>
      <c r="C577" s="9"/>
      <c r="D577" s="9"/>
      <c r="E577" s="9"/>
      <c r="F577" s="9"/>
      <c r="G577" s="5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ht="12.75" customHeight="1">
      <c r="A578" s="9"/>
      <c r="B578" s="5"/>
      <c r="C578" s="9"/>
      <c r="D578" s="9"/>
      <c r="E578" s="9"/>
      <c r="F578" s="9"/>
      <c r="G578" s="5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ht="12.75" customHeight="1">
      <c r="A579" s="9"/>
      <c r="B579" s="5"/>
      <c r="C579" s="9"/>
      <c r="D579" s="9"/>
      <c r="E579" s="9"/>
      <c r="F579" s="9"/>
      <c r="G579" s="5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ht="12.75" customHeight="1">
      <c r="A580" s="9"/>
      <c r="B580" s="5"/>
      <c r="C580" s="9"/>
      <c r="D580" s="9"/>
      <c r="E580" s="9"/>
      <c r="F580" s="9"/>
      <c r="G580" s="5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ht="12.75" customHeight="1">
      <c r="A581" s="9"/>
      <c r="B581" s="5"/>
      <c r="C581" s="9"/>
      <c r="D581" s="9"/>
      <c r="E581" s="9"/>
      <c r="F581" s="9"/>
      <c r="G581" s="5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ht="12.75" customHeight="1">
      <c r="A582" s="9"/>
      <c r="B582" s="5"/>
      <c r="C582" s="9"/>
      <c r="D582" s="9"/>
      <c r="E582" s="9"/>
      <c r="F582" s="9"/>
      <c r="G582" s="5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ht="12.75" customHeight="1">
      <c r="A583" s="9"/>
      <c r="B583" s="5"/>
      <c r="C583" s="9"/>
      <c r="D583" s="9"/>
      <c r="E583" s="9"/>
      <c r="F583" s="9"/>
      <c r="G583" s="5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ht="12.75" customHeight="1">
      <c r="A584" s="9"/>
      <c r="B584" s="5"/>
      <c r="C584" s="9"/>
      <c r="D584" s="9"/>
      <c r="E584" s="9"/>
      <c r="F584" s="9"/>
      <c r="G584" s="5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ht="12.75" customHeight="1">
      <c r="A585" s="9"/>
      <c r="B585" s="5"/>
      <c r="C585" s="9"/>
      <c r="D585" s="9"/>
      <c r="E585" s="9"/>
      <c r="F585" s="9"/>
      <c r="G585" s="5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ht="12.75" customHeight="1">
      <c r="A586" s="9"/>
      <c r="B586" s="5"/>
      <c r="C586" s="9"/>
      <c r="D586" s="9"/>
      <c r="E586" s="9"/>
      <c r="F586" s="9"/>
      <c r="G586" s="5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ht="12.75" customHeight="1">
      <c r="A587" s="9"/>
      <c r="B587" s="5"/>
      <c r="C587" s="9"/>
      <c r="D587" s="9"/>
      <c r="E587" s="9"/>
      <c r="F587" s="9"/>
      <c r="G587" s="5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ht="12.75" customHeight="1">
      <c r="A588" s="9"/>
      <c r="B588" s="5"/>
      <c r="C588" s="9"/>
      <c r="D588" s="9"/>
      <c r="E588" s="9"/>
      <c r="F588" s="9"/>
      <c r="G588" s="5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ht="12.75" customHeight="1">
      <c r="A589" s="9"/>
      <c r="B589" s="5"/>
      <c r="C589" s="9"/>
      <c r="D589" s="9"/>
      <c r="E589" s="9"/>
      <c r="F589" s="9"/>
      <c r="G589" s="5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ht="12.75" customHeight="1">
      <c r="A590" s="9"/>
      <c r="B590" s="5"/>
      <c r="C590" s="9"/>
      <c r="D590" s="9"/>
      <c r="E590" s="9"/>
      <c r="F590" s="9"/>
      <c r="G590" s="5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ht="12.75" customHeight="1">
      <c r="A591" s="9"/>
      <c r="B591" s="5"/>
      <c r="C591" s="9"/>
      <c r="D591" s="9"/>
      <c r="E591" s="9"/>
      <c r="F591" s="9"/>
      <c r="G591" s="5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ht="12.75" customHeight="1">
      <c r="A592" s="9"/>
      <c r="B592" s="5"/>
      <c r="C592" s="9"/>
      <c r="D592" s="9"/>
      <c r="E592" s="9"/>
      <c r="F592" s="9"/>
      <c r="G592" s="5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ht="12.75" customHeight="1">
      <c r="A593" s="9"/>
      <c r="B593" s="5"/>
      <c r="C593" s="9"/>
      <c r="D593" s="9"/>
      <c r="E593" s="9"/>
      <c r="F593" s="9"/>
      <c r="G593" s="5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ht="12.75" customHeight="1">
      <c r="A594" s="9"/>
      <c r="B594" s="5"/>
      <c r="C594" s="9"/>
      <c r="D594" s="9"/>
      <c r="E594" s="9"/>
      <c r="F594" s="9"/>
      <c r="G594" s="5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ht="12.75" customHeight="1">
      <c r="A595" s="9"/>
      <c r="B595" s="5"/>
      <c r="C595" s="9"/>
      <c r="D595" s="9"/>
      <c r="E595" s="9"/>
      <c r="F595" s="9"/>
      <c r="G595" s="5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ht="12.75" customHeight="1">
      <c r="A596" s="9"/>
      <c r="B596" s="5"/>
      <c r="C596" s="9"/>
      <c r="D596" s="9"/>
      <c r="E596" s="9"/>
      <c r="F596" s="9"/>
      <c r="G596" s="5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ht="12.75" customHeight="1">
      <c r="A597" s="9"/>
      <c r="B597" s="5"/>
      <c r="C597" s="9"/>
      <c r="D597" s="9"/>
      <c r="E597" s="9"/>
      <c r="F597" s="9"/>
      <c r="G597" s="5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ht="12.75" customHeight="1">
      <c r="A598" s="9"/>
      <c r="B598" s="5"/>
      <c r="C598" s="9"/>
      <c r="D598" s="9"/>
      <c r="E598" s="9"/>
      <c r="F598" s="9"/>
      <c r="G598" s="5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ht="12.75" customHeight="1">
      <c r="A599" s="9"/>
      <c r="B599" s="5"/>
      <c r="C599" s="9"/>
      <c r="D599" s="9"/>
      <c r="E599" s="9"/>
      <c r="F599" s="9"/>
      <c r="G599" s="5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ht="12.75" customHeight="1">
      <c r="A600" s="9"/>
      <c r="B600" s="5"/>
      <c r="C600" s="9"/>
      <c r="D600" s="9"/>
      <c r="E600" s="9"/>
      <c r="F600" s="9"/>
      <c r="G600" s="5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ht="12.75" customHeight="1">
      <c r="A601" s="9"/>
      <c r="B601" s="5"/>
      <c r="C601" s="9"/>
      <c r="D601" s="9"/>
      <c r="E601" s="9"/>
      <c r="F601" s="9"/>
      <c r="G601" s="5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ht="12.75" customHeight="1">
      <c r="A602" s="9"/>
      <c r="B602" s="5"/>
      <c r="C602" s="9"/>
      <c r="D602" s="9"/>
      <c r="E602" s="9"/>
      <c r="F602" s="9"/>
      <c r="G602" s="5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ht="12.75" customHeight="1">
      <c r="A603" s="9"/>
      <c r="B603" s="5"/>
      <c r="C603" s="9"/>
      <c r="D603" s="9"/>
      <c r="E603" s="9"/>
      <c r="F603" s="9"/>
      <c r="G603" s="5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ht="12.75" customHeight="1">
      <c r="A604" s="9"/>
      <c r="B604" s="5"/>
      <c r="C604" s="9"/>
      <c r="D604" s="9"/>
      <c r="E604" s="9"/>
      <c r="F604" s="9"/>
      <c r="G604" s="5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ht="12.75" customHeight="1">
      <c r="A605" s="9"/>
      <c r="B605" s="5"/>
      <c r="C605" s="9"/>
      <c r="D605" s="9"/>
      <c r="E605" s="9"/>
      <c r="F605" s="9"/>
      <c r="G605" s="5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ht="12.75" customHeight="1">
      <c r="A606" s="9"/>
      <c r="B606" s="5"/>
      <c r="C606" s="9"/>
      <c r="D606" s="9"/>
      <c r="E606" s="9"/>
      <c r="F606" s="9"/>
      <c r="G606" s="5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ht="12.75" customHeight="1">
      <c r="A607" s="9"/>
      <c r="B607" s="5"/>
      <c r="C607" s="9"/>
      <c r="D607" s="9"/>
      <c r="E607" s="9"/>
      <c r="F607" s="9"/>
      <c r="G607" s="5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ht="12.75" customHeight="1">
      <c r="A608" s="9"/>
      <c r="B608" s="5"/>
      <c r="C608" s="9"/>
      <c r="D608" s="9"/>
      <c r="E608" s="9"/>
      <c r="F608" s="9"/>
      <c r="G608" s="5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ht="12.75" customHeight="1">
      <c r="A609" s="9"/>
      <c r="B609" s="5"/>
      <c r="C609" s="9"/>
      <c r="D609" s="9"/>
      <c r="E609" s="9"/>
      <c r="F609" s="9"/>
      <c r="G609" s="5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ht="12.75" customHeight="1">
      <c r="A610" s="9"/>
      <c r="B610" s="5"/>
      <c r="C610" s="9"/>
      <c r="D610" s="9"/>
      <c r="E610" s="9"/>
      <c r="F610" s="9"/>
      <c r="G610" s="5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ht="12.75" customHeight="1">
      <c r="A611" s="9"/>
      <c r="B611" s="5"/>
      <c r="C611" s="9"/>
      <c r="D611" s="9"/>
      <c r="E611" s="9"/>
      <c r="F611" s="9"/>
      <c r="G611" s="5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ht="12.75" customHeight="1">
      <c r="A612" s="9"/>
      <c r="B612" s="5"/>
      <c r="C612" s="9"/>
      <c r="D612" s="9"/>
      <c r="E612" s="9"/>
      <c r="F612" s="9"/>
      <c r="G612" s="5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ht="12.75" customHeight="1">
      <c r="A613" s="9"/>
      <c r="B613" s="5"/>
      <c r="C613" s="9"/>
      <c r="D613" s="9"/>
      <c r="E613" s="9"/>
      <c r="F613" s="9"/>
      <c r="G613" s="5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ht="12.75" customHeight="1">
      <c r="A614" s="9"/>
      <c r="B614" s="5"/>
      <c r="C614" s="9"/>
      <c r="D614" s="9"/>
      <c r="E614" s="9"/>
      <c r="F614" s="9"/>
      <c r="G614" s="5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ht="12.75" customHeight="1">
      <c r="A615" s="9"/>
      <c r="B615" s="5"/>
      <c r="C615" s="9"/>
      <c r="D615" s="9"/>
      <c r="E615" s="9"/>
      <c r="F615" s="9"/>
      <c r="G615" s="5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ht="12.75" customHeight="1">
      <c r="A616" s="9"/>
      <c r="B616" s="5"/>
      <c r="C616" s="9"/>
      <c r="D616" s="9"/>
      <c r="E616" s="9"/>
      <c r="F616" s="9"/>
      <c r="G616" s="5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ht="12.75" customHeight="1">
      <c r="A617" s="9"/>
      <c r="B617" s="5"/>
      <c r="C617" s="9"/>
      <c r="D617" s="9"/>
      <c r="E617" s="9"/>
      <c r="F617" s="9"/>
      <c r="G617" s="5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ht="12.75" customHeight="1">
      <c r="A618" s="9"/>
      <c r="B618" s="5"/>
      <c r="C618" s="9"/>
      <c r="D618" s="9"/>
      <c r="E618" s="9"/>
      <c r="F618" s="9"/>
      <c r="G618" s="5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ht="12.75" customHeight="1">
      <c r="A619" s="9"/>
      <c r="B619" s="5"/>
      <c r="C619" s="9"/>
      <c r="D619" s="9"/>
      <c r="E619" s="9"/>
      <c r="F619" s="9"/>
      <c r="G619" s="5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ht="12.75" customHeight="1">
      <c r="A620" s="9"/>
      <c r="B620" s="5"/>
      <c r="C620" s="9"/>
      <c r="D620" s="9"/>
      <c r="E620" s="9"/>
      <c r="F620" s="9"/>
      <c r="G620" s="5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ht="12.75" customHeight="1">
      <c r="A621" s="9"/>
      <c r="B621" s="5"/>
      <c r="C621" s="9"/>
      <c r="D621" s="9"/>
      <c r="E621" s="9"/>
      <c r="F621" s="9"/>
      <c r="G621" s="5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ht="12.75" customHeight="1">
      <c r="A622" s="9"/>
      <c r="B622" s="5"/>
      <c r="C622" s="9"/>
      <c r="D622" s="9"/>
      <c r="E622" s="9"/>
      <c r="F622" s="9"/>
      <c r="G622" s="5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ht="12.75" customHeight="1">
      <c r="A623" s="9"/>
      <c r="B623" s="5"/>
      <c r="C623" s="9"/>
      <c r="D623" s="9"/>
      <c r="E623" s="9"/>
      <c r="F623" s="9"/>
      <c r="G623" s="5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ht="12.75" customHeight="1">
      <c r="A624" s="9"/>
      <c r="B624" s="5"/>
      <c r="C624" s="9"/>
      <c r="D624" s="9"/>
      <c r="E624" s="9"/>
      <c r="F624" s="9"/>
      <c r="G624" s="5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ht="12.75" customHeight="1">
      <c r="A625" s="9"/>
      <c r="B625" s="5"/>
      <c r="C625" s="9"/>
      <c r="D625" s="9"/>
      <c r="E625" s="9"/>
      <c r="F625" s="9"/>
      <c r="G625" s="5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ht="12.75" customHeight="1">
      <c r="A626" s="9"/>
      <c r="B626" s="5"/>
      <c r="C626" s="9"/>
      <c r="D626" s="9"/>
      <c r="E626" s="9"/>
      <c r="F626" s="9"/>
      <c r="G626" s="5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ht="12.75" customHeight="1">
      <c r="A627" s="9"/>
      <c r="B627" s="5"/>
      <c r="C627" s="9"/>
      <c r="D627" s="9"/>
      <c r="E627" s="9"/>
      <c r="F627" s="9"/>
      <c r="G627" s="5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ht="12.75" customHeight="1">
      <c r="A628" s="9"/>
      <c r="B628" s="5"/>
      <c r="C628" s="9"/>
      <c r="D628" s="9"/>
      <c r="E628" s="9"/>
      <c r="F628" s="9"/>
      <c r="G628" s="5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ht="12.75" customHeight="1">
      <c r="A629" s="9"/>
      <c r="B629" s="5"/>
      <c r="C629" s="9"/>
      <c r="D629" s="9"/>
      <c r="E629" s="9"/>
      <c r="F629" s="9"/>
      <c r="G629" s="5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ht="12.75" customHeight="1">
      <c r="A630" s="9"/>
      <c r="B630" s="5"/>
      <c r="C630" s="9"/>
      <c r="D630" s="9"/>
      <c r="E630" s="9"/>
      <c r="F630" s="9"/>
      <c r="G630" s="5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ht="12.75" customHeight="1">
      <c r="A631" s="9"/>
      <c r="B631" s="5"/>
      <c r="C631" s="9"/>
      <c r="D631" s="9"/>
      <c r="E631" s="9"/>
      <c r="F631" s="9"/>
      <c r="G631" s="5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ht="12.75" customHeight="1">
      <c r="A632" s="9"/>
      <c r="B632" s="5"/>
      <c r="C632" s="9"/>
      <c r="D632" s="9"/>
      <c r="E632" s="9"/>
      <c r="F632" s="9"/>
      <c r="G632" s="5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ht="12.75" customHeight="1">
      <c r="A633" s="9"/>
      <c r="B633" s="5"/>
      <c r="C633" s="9"/>
      <c r="D633" s="9"/>
      <c r="E633" s="9"/>
      <c r="F633" s="9"/>
      <c r="G633" s="5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ht="12.75" customHeight="1">
      <c r="A634" s="9"/>
      <c r="B634" s="5"/>
      <c r="C634" s="9"/>
      <c r="D634" s="9"/>
      <c r="E634" s="9"/>
      <c r="F634" s="9"/>
      <c r="G634" s="5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ht="12.75" customHeight="1">
      <c r="A635" s="9"/>
      <c r="B635" s="5"/>
      <c r="C635" s="9"/>
      <c r="D635" s="9"/>
      <c r="E635" s="9"/>
      <c r="F635" s="9"/>
      <c r="G635" s="5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ht="12.75" customHeight="1">
      <c r="A636" s="9"/>
      <c r="B636" s="5"/>
      <c r="C636" s="9"/>
      <c r="D636" s="9"/>
      <c r="E636" s="9"/>
      <c r="F636" s="9"/>
      <c r="G636" s="5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ht="12.75" customHeight="1">
      <c r="A637" s="9"/>
      <c r="B637" s="5"/>
      <c r="C637" s="9"/>
      <c r="D637" s="9"/>
      <c r="E637" s="9"/>
      <c r="F637" s="9"/>
      <c r="G637" s="5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ht="12.75" customHeight="1">
      <c r="A638" s="9"/>
      <c r="B638" s="5"/>
      <c r="C638" s="9"/>
      <c r="D638" s="9"/>
      <c r="E638" s="9"/>
      <c r="F638" s="9"/>
      <c r="G638" s="5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ht="12.75" customHeight="1">
      <c r="A639" s="9"/>
      <c r="B639" s="5"/>
      <c r="C639" s="9"/>
      <c r="D639" s="9"/>
      <c r="E639" s="9"/>
      <c r="F639" s="9"/>
      <c r="G639" s="5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ht="12.75" customHeight="1">
      <c r="A640" s="9"/>
      <c r="B640" s="5"/>
      <c r="C640" s="9"/>
      <c r="D640" s="9"/>
      <c r="E640" s="9"/>
      <c r="F640" s="9"/>
      <c r="G640" s="5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ht="12.75" customHeight="1">
      <c r="A641" s="9"/>
      <c r="B641" s="5"/>
      <c r="C641" s="9"/>
      <c r="D641" s="9"/>
      <c r="E641" s="9"/>
      <c r="F641" s="9"/>
      <c r="G641" s="5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ht="12.75" customHeight="1">
      <c r="A642" s="9"/>
      <c r="B642" s="5"/>
      <c r="C642" s="9"/>
      <c r="D642" s="9"/>
      <c r="E642" s="9"/>
      <c r="F642" s="9"/>
      <c r="G642" s="5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ht="12.75" customHeight="1">
      <c r="A643" s="9"/>
      <c r="B643" s="5"/>
      <c r="C643" s="9"/>
      <c r="D643" s="9"/>
      <c r="E643" s="9"/>
      <c r="F643" s="9"/>
      <c r="G643" s="5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ht="12.75" customHeight="1">
      <c r="A644" s="9"/>
      <c r="B644" s="5"/>
      <c r="C644" s="9"/>
      <c r="D644" s="9"/>
      <c r="E644" s="9"/>
      <c r="F644" s="9"/>
      <c r="G644" s="5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ht="12.75" customHeight="1">
      <c r="A645" s="9"/>
      <c r="B645" s="5"/>
      <c r="C645" s="9"/>
      <c r="D645" s="9"/>
      <c r="E645" s="9"/>
      <c r="F645" s="9"/>
      <c r="G645" s="5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ht="12.75" customHeight="1">
      <c r="A646" s="9"/>
      <c r="B646" s="5"/>
      <c r="C646" s="9"/>
      <c r="D646" s="9"/>
      <c r="E646" s="9"/>
      <c r="F646" s="9"/>
      <c r="G646" s="5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ht="12.75" customHeight="1">
      <c r="A647" s="9"/>
      <c r="B647" s="5"/>
      <c r="C647" s="9"/>
      <c r="D647" s="9"/>
      <c r="E647" s="9"/>
      <c r="F647" s="9"/>
      <c r="G647" s="5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ht="12.75" customHeight="1">
      <c r="A648" s="9"/>
      <c r="B648" s="5"/>
      <c r="C648" s="9"/>
      <c r="D648" s="9"/>
      <c r="E648" s="9"/>
      <c r="F648" s="9"/>
      <c r="G648" s="5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ht="12.75" customHeight="1">
      <c r="A649" s="9"/>
      <c r="B649" s="5"/>
      <c r="C649" s="9"/>
      <c r="D649" s="9"/>
      <c r="E649" s="9"/>
      <c r="F649" s="9"/>
      <c r="G649" s="5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ht="12.75" customHeight="1">
      <c r="A650" s="9"/>
      <c r="B650" s="5"/>
      <c r="C650" s="9"/>
      <c r="D650" s="9"/>
      <c r="E650" s="9"/>
      <c r="F650" s="9"/>
      <c r="G650" s="5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ht="12.75" customHeight="1">
      <c r="A651" s="9"/>
      <c r="B651" s="5"/>
      <c r="C651" s="9"/>
      <c r="D651" s="9"/>
      <c r="E651" s="9"/>
      <c r="F651" s="9"/>
      <c r="G651" s="5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ht="12.75" customHeight="1">
      <c r="A652" s="9"/>
      <c r="B652" s="5"/>
      <c r="C652" s="9"/>
      <c r="D652" s="9"/>
      <c r="E652" s="9"/>
      <c r="F652" s="9"/>
      <c r="G652" s="5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ht="12.75" customHeight="1">
      <c r="A653" s="9"/>
      <c r="B653" s="5"/>
      <c r="C653" s="9"/>
      <c r="D653" s="9"/>
      <c r="E653" s="9"/>
      <c r="F653" s="9"/>
      <c r="G653" s="5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ht="12.75" customHeight="1">
      <c r="A654" s="9"/>
      <c r="B654" s="5"/>
      <c r="C654" s="9"/>
      <c r="D654" s="9"/>
      <c r="E654" s="9"/>
      <c r="F654" s="9"/>
      <c r="G654" s="5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ht="12.75" customHeight="1">
      <c r="A655" s="9"/>
      <c r="B655" s="5"/>
      <c r="C655" s="9"/>
      <c r="D655" s="9"/>
      <c r="E655" s="9"/>
      <c r="F655" s="9"/>
      <c r="G655" s="5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ht="12.75" customHeight="1">
      <c r="A656" s="9"/>
      <c r="B656" s="5"/>
      <c r="C656" s="9"/>
      <c r="D656" s="9"/>
      <c r="E656" s="9"/>
      <c r="F656" s="9"/>
      <c r="G656" s="5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ht="12.75" customHeight="1">
      <c r="A657" s="9"/>
      <c r="B657" s="5"/>
      <c r="C657" s="9"/>
      <c r="D657" s="9"/>
      <c r="E657" s="9"/>
      <c r="F657" s="9"/>
      <c r="G657" s="5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ht="12.75" customHeight="1">
      <c r="A658" s="9"/>
      <c r="B658" s="5"/>
      <c r="C658" s="9"/>
      <c r="D658" s="9"/>
      <c r="E658" s="9"/>
      <c r="F658" s="9"/>
      <c r="G658" s="5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ht="12.75" customHeight="1">
      <c r="A659" s="9"/>
      <c r="B659" s="5"/>
      <c r="C659" s="9"/>
      <c r="D659" s="9"/>
      <c r="E659" s="9"/>
      <c r="F659" s="9"/>
      <c r="G659" s="5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ht="12.75" customHeight="1">
      <c r="A660" s="9"/>
      <c r="B660" s="5"/>
      <c r="C660" s="9"/>
      <c r="D660" s="9"/>
      <c r="E660" s="9"/>
      <c r="F660" s="9"/>
      <c r="G660" s="5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ht="12.75" customHeight="1">
      <c r="A661" s="9"/>
      <c r="B661" s="5"/>
      <c r="C661" s="9"/>
      <c r="D661" s="9"/>
      <c r="E661" s="9"/>
      <c r="F661" s="9"/>
      <c r="G661" s="5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ht="12.75" customHeight="1">
      <c r="A662" s="9"/>
      <c r="B662" s="5"/>
      <c r="C662" s="9"/>
      <c r="D662" s="9"/>
      <c r="E662" s="9"/>
      <c r="F662" s="9"/>
      <c r="G662" s="5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ht="12.75" customHeight="1">
      <c r="A663" s="9"/>
      <c r="B663" s="5"/>
      <c r="C663" s="9"/>
      <c r="D663" s="9"/>
      <c r="E663" s="9"/>
      <c r="F663" s="9"/>
      <c r="G663" s="5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ht="12.75" customHeight="1">
      <c r="A664" s="9"/>
      <c r="B664" s="5"/>
      <c r="C664" s="9"/>
      <c r="D664" s="9"/>
      <c r="E664" s="9"/>
      <c r="F664" s="9"/>
      <c r="G664" s="5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ht="12.75" customHeight="1">
      <c r="A665" s="9"/>
      <c r="B665" s="5"/>
      <c r="C665" s="9"/>
      <c r="D665" s="9"/>
      <c r="E665" s="9"/>
      <c r="F665" s="9"/>
      <c r="G665" s="5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ht="12.75" customHeight="1">
      <c r="A666" s="9"/>
      <c r="B666" s="5"/>
      <c r="C666" s="9"/>
      <c r="D666" s="9"/>
      <c r="E666" s="9"/>
      <c r="F666" s="9"/>
      <c r="G666" s="5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ht="12.75" customHeight="1">
      <c r="A667" s="9"/>
      <c r="B667" s="5"/>
      <c r="C667" s="9"/>
      <c r="D667" s="9"/>
      <c r="E667" s="9"/>
      <c r="F667" s="9"/>
      <c r="G667" s="5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ht="12.75" customHeight="1">
      <c r="A668" s="9"/>
      <c r="B668" s="5"/>
      <c r="C668" s="9"/>
      <c r="D668" s="9"/>
      <c r="E668" s="9"/>
      <c r="F668" s="9"/>
      <c r="G668" s="5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ht="12.75" customHeight="1">
      <c r="A669" s="9"/>
      <c r="B669" s="5"/>
      <c r="C669" s="9"/>
      <c r="D669" s="9"/>
      <c r="E669" s="9"/>
      <c r="F669" s="9"/>
      <c r="G669" s="5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ht="12.75" customHeight="1">
      <c r="A670" s="9"/>
      <c r="B670" s="5"/>
      <c r="C670" s="9"/>
      <c r="D670" s="9"/>
      <c r="E670" s="9"/>
      <c r="F670" s="9"/>
      <c r="G670" s="5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ht="12.75" customHeight="1">
      <c r="A671" s="9"/>
      <c r="B671" s="5"/>
      <c r="C671" s="9"/>
      <c r="D671" s="9"/>
      <c r="E671" s="9"/>
      <c r="F671" s="9"/>
      <c r="G671" s="5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ht="12.75" customHeight="1">
      <c r="A672" s="9"/>
      <c r="B672" s="5"/>
      <c r="C672" s="9"/>
      <c r="D672" s="9"/>
      <c r="E672" s="9"/>
      <c r="F672" s="9"/>
      <c r="G672" s="5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ht="12.75" customHeight="1">
      <c r="A673" s="9"/>
      <c r="B673" s="5"/>
      <c r="C673" s="9"/>
      <c r="D673" s="9"/>
      <c r="E673" s="9"/>
      <c r="F673" s="9"/>
      <c r="G673" s="5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ht="12.75" customHeight="1">
      <c r="A674" s="9"/>
      <c r="B674" s="5"/>
      <c r="C674" s="9"/>
      <c r="D674" s="9"/>
      <c r="E674" s="9"/>
      <c r="F674" s="9"/>
      <c r="G674" s="5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ht="12.75" customHeight="1">
      <c r="A675" s="9"/>
      <c r="B675" s="5"/>
      <c r="C675" s="9"/>
      <c r="D675" s="9"/>
      <c r="E675" s="9"/>
      <c r="F675" s="9"/>
      <c r="G675" s="5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ht="12.75" customHeight="1">
      <c r="A676" s="9"/>
      <c r="B676" s="5"/>
      <c r="C676" s="9"/>
      <c r="D676" s="9"/>
      <c r="E676" s="9"/>
      <c r="F676" s="9"/>
      <c r="G676" s="5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ht="12.75" customHeight="1">
      <c r="A677" s="9"/>
      <c r="B677" s="5"/>
      <c r="C677" s="9"/>
      <c r="D677" s="9"/>
      <c r="E677" s="9"/>
      <c r="F677" s="9"/>
      <c r="G677" s="5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ht="12.75" customHeight="1">
      <c r="A678" s="9"/>
      <c r="B678" s="5"/>
      <c r="C678" s="9"/>
      <c r="D678" s="9"/>
      <c r="E678" s="9"/>
      <c r="F678" s="9"/>
      <c r="G678" s="5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ht="12.75" customHeight="1">
      <c r="A679" s="9"/>
      <c r="B679" s="5"/>
      <c r="C679" s="9"/>
      <c r="D679" s="9"/>
      <c r="E679" s="9"/>
      <c r="F679" s="9"/>
      <c r="G679" s="5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ht="12.75" customHeight="1">
      <c r="A680" s="9"/>
      <c r="B680" s="5"/>
      <c r="C680" s="9"/>
      <c r="D680" s="9"/>
      <c r="E680" s="9"/>
      <c r="F680" s="9"/>
      <c r="G680" s="5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ht="12.75" customHeight="1">
      <c r="A681" s="9"/>
      <c r="B681" s="5"/>
      <c r="C681" s="9"/>
      <c r="D681" s="9"/>
      <c r="E681" s="9"/>
      <c r="F681" s="9"/>
      <c r="G681" s="5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ht="12.75" customHeight="1">
      <c r="A682" s="9"/>
      <c r="B682" s="5"/>
      <c r="C682" s="9"/>
      <c r="D682" s="9"/>
      <c r="E682" s="9"/>
      <c r="F682" s="9"/>
      <c r="G682" s="5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ht="12.75" customHeight="1">
      <c r="A683" s="9"/>
      <c r="B683" s="5"/>
      <c r="C683" s="9"/>
      <c r="D683" s="9"/>
      <c r="E683" s="9"/>
      <c r="F683" s="9"/>
      <c r="G683" s="5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ht="12.75" customHeight="1">
      <c r="A684" s="9"/>
      <c r="B684" s="5"/>
      <c r="C684" s="9"/>
      <c r="D684" s="9"/>
      <c r="E684" s="9"/>
      <c r="F684" s="9"/>
      <c r="G684" s="5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ht="12.75" customHeight="1">
      <c r="A685" s="9"/>
      <c r="B685" s="5"/>
      <c r="C685" s="9"/>
      <c r="D685" s="9"/>
      <c r="E685" s="9"/>
      <c r="F685" s="9"/>
      <c r="G685" s="5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ht="12.75" customHeight="1">
      <c r="A686" s="9"/>
      <c r="B686" s="5"/>
      <c r="C686" s="9"/>
      <c r="D686" s="9"/>
      <c r="E686" s="9"/>
      <c r="F686" s="9"/>
      <c r="G686" s="5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ht="12.75" customHeight="1">
      <c r="A687" s="9"/>
      <c r="B687" s="5"/>
      <c r="C687" s="9"/>
      <c r="D687" s="9"/>
      <c r="E687" s="9"/>
      <c r="F687" s="9"/>
      <c r="G687" s="5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ht="12.75" customHeight="1">
      <c r="A688" s="9"/>
      <c r="B688" s="5"/>
      <c r="C688" s="9"/>
      <c r="D688" s="9"/>
      <c r="E688" s="9"/>
      <c r="F688" s="9"/>
      <c r="G688" s="5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ht="12.75" customHeight="1">
      <c r="A689" s="9"/>
      <c r="B689" s="5"/>
      <c r="C689" s="9"/>
      <c r="D689" s="9"/>
      <c r="E689" s="9"/>
      <c r="F689" s="9"/>
      <c r="G689" s="5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ht="12.75" customHeight="1">
      <c r="A690" s="9"/>
      <c r="B690" s="5"/>
      <c r="C690" s="9"/>
      <c r="D690" s="9"/>
      <c r="E690" s="9"/>
      <c r="F690" s="9"/>
      <c r="G690" s="5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ht="12.75" customHeight="1">
      <c r="A691" s="9"/>
      <c r="B691" s="5"/>
      <c r="C691" s="9"/>
      <c r="D691" s="9"/>
      <c r="E691" s="9"/>
      <c r="F691" s="9"/>
      <c r="G691" s="5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ht="12.75" customHeight="1">
      <c r="A692" s="9"/>
      <c r="B692" s="5"/>
      <c r="C692" s="9"/>
      <c r="D692" s="9"/>
      <c r="E692" s="9"/>
      <c r="F692" s="9"/>
      <c r="G692" s="5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ht="12.75" customHeight="1">
      <c r="A693" s="9"/>
      <c r="B693" s="5"/>
      <c r="C693" s="9"/>
      <c r="D693" s="9"/>
      <c r="E693" s="9"/>
      <c r="F693" s="9"/>
      <c r="G693" s="5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ht="12.75" customHeight="1">
      <c r="A694" s="9"/>
      <c r="B694" s="5"/>
      <c r="C694" s="9"/>
      <c r="D694" s="9"/>
      <c r="E694" s="9"/>
      <c r="F694" s="9"/>
      <c r="G694" s="5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ht="12.75" customHeight="1">
      <c r="A695" s="9"/>
      <c r="B695" s="5"/>
      <c r="C695" s="9"/>
      <c r="D695" s="9"/>
      <c r="E695" s="9"/>
      <c r="F695" s="9"/>
      <c r="G695" s="5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ht="12.75" customHeight="1">
      <c r="A696" s="9"/>
      <c r="B696" s="5"/>
      <c r="C696" s="9"/>
      <c r="D696" s="9"/>
      <c r="E696" s="9"/>
      <c r="F696" s="9"/>
      <c r="G696" s="5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ht="12.75" customHeight="1">
      <c r="A697" s="9"/>
      <c r="B697" s="5"/>
      <c r="C697" s="9"/>
      <c r="D697" s="9"/>
      <c r="E697" s="9"/>
      <c r="F697" s="9"/>
      <c r="G697" s="5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ht="12.75" customHeight="1">
      <c r="A698" s="9"/>
      <c r="B698" s="5"/>
      <c r="C698" s="9"/>
      <c r="D698" s="9"/>
      <c r="E698" s="9"/>
      <c r="F698" s="9"/>
      <c r="G698" s="5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ht="12.75" customHeight="1">
      <c r="A699" s="9"/>
      <c r="B699" s="5"/>
      <c r="C699" s="9"/>
      <c r="D699" s="9"/>
      <c r="E699" s="9"/>
      <c r="F699" s="9"/>
      <c r="G699" s="5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ht="12.75" customHeight="1">
      <c r="A700" s="9"/>
      <c r="B700" s="5"/>
      <c r="C700" s="9"/>
      <c r="D700" s="9"/>
      <c r="E700" s="9"/>
      <c r="F700" s="9"/>
      <c r="G700" s="5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ht="12.75" customHeight="1">
      <c r="A701" s="9"/>
      <c r="B701" s="5"/>
      <c r="C701" s="9"/>
      <c r="D701" s="9"/>
      <c r="E701" s="9"/>
      <c r="F701" s="9"/>
      <c r="G701" s="5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ht="12.75" customHeight="1">
      <c r="A702" s="9"/>
      <c r="B702" s="5"/>
      <c r="C702" s="9"/>
      <c r="D702" s="9"/>
      <c r="E702" s="9"/>
      <c r="F702" s="9"/>
      <c r="G702" s="5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ht="12.75" customHeight="1">
      <c r="A703" s="9"/>
      <c r="B703" s="5"/>
      <c r="C703" s="9"/>
      <c r="D703" s="9"/>
      <c r="E703" s="9"/>
      <c r="F703" s="9"/>
      <c r="G703" s="5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ht="12.75" customHeight="1">
      <c r="A704" s="9"/>
      <c r="B704" s="5"/>
      <c r="C704" s="9"/>
      <c r="D704" s="9"/>
      <c r="E704" s="9"/>
      <c r="F704" s="9"/>
      <c r="G704" s="5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ht="12.75" customHeight="1">
      <c r="A705" s="9"/>
      <c r="B705" s="5"/>
      <c r="C705" s="9"/>
      <c r="D705" s="9"/>
      <c r="E705" s="9"/>
      <c r="F705" s="9"/>
      <c r="G705" s="5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ht="12.75" customHeight="1">
      <c r="A706" s="9"/>
      <c r="B706" s="5"/>
      <c r="C706" s="9"/>
      <c r="D706" s="9"/>
      <c r="E706" s="9"/>
      <c r="F706" s="9"/>
      <c r="G706" s="5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ht="12.75" customHeight="1">
      <c r="A707" s="9"/>
      <c r="B707" s="5"/>
      <c r="C707" s="9"/>
      <c r="D707" s="9"/>
      <c r="E707" s="9"/>
      <c r="F707" s="9"/>
      <c r="G707" s="5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ht="12.75" customHeight="1">
      <c r="A708" s="9"/>
      <c r="B708" s="5"/>
      <c r="C708" s="9"/>
      <c r="D708" s="9"/>
      <c r="E708" s="9"/>
      <c r="F708" s="9"/>
      <c r="G708" s="5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ht="12.75" customHeight="1">
      <c r="A709" s="9"/>
      <c r="B709" s="5"/>
      <c r="C709" s="9"/>
      <c r="D709" s="9"/>
      <c r="E709" s="9"/>
      <c r="F709" s="9"/>
      <c r="G709" s="5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ht="12.75" customHeight="1">
      <c r="A710" s="9"/>
      <c r="B710" s="5"/>
      <c r="C710" s="9"/>
      <c r="D710" s="9"/>
      <c r="E710" s="9"/>
      <c r="F710" s="9"/>
      <c r="G710" s="5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ht="12.75" customHeight="1">
      <c r="A711" s="9"/>
      <c r="B711" s="5"/>
      <c r="C711" s="9"/>
      <c r="D711" s="9"/>
      <c r="E711" s="9"/>
      <c r="F711" s="9"/>
      <c r="G711" s="5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ht="12.75" customHeight="1">
      <c r="A712" s="9"/>
      <c r="B712" s="5"/>
      <c r="C712" s="9"/>
      <c r="D712" s="9"/>
      <c r="E712" s="9"/>
      <c r="F712" s="9"/>
      <c r="G712" s="5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ht="12.75" customHeight="1">
      <c r="A713" s="9"/>
      <c r="B713" s="5"/>
      <c r="C713" s="9"/>
      <c r="D713" s="9"/>
      <c r="E713" s="9"/>
      <c r="F713" s="9"/>
      <c r="G713" s="5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ht="12.75" customHeight="1">
      <c r="A714" s="9"/>
      <c r="B714" s="5"/>
      <c r="C714" s="9"/>
      <c r="D714" s="9"/>
      <c r="E714" s="9"/>
      <c r="F714" s="9"/>
      <c r="G714" s="5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ht="12.75" customHeight="1">
      <c r="A715" s="9"/>
      <c r="B715" s="5"/>
      <c r="C715" s="9"/>
      <c r="D715" s="9"/>
      <c r="E715" s="9"/>
      <c r="F715" s="9"/>
      <c r="G715" s="5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ht="12.75" customHeight="1">
      <c r="A716" s="9"/>
      <c r="B716" s="5"/>
      <c r="C716" s="9"/>
      <c r="D716" s="9"/>
      <c r="E716" s="9"/>
      <c r="F716" s="9"/>
      <c r="G716" s="5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ht="12.75" customHeight="1">
      <c r="A717" s="9"/>
      <c r="B717" s="5"/>
      <c r="C717" s="9"/>
      <c r="D717" s="9"/>
      <c r="E717" s="9"/>
      <c r="F717" s="9"/>
      <c r="G717" s="5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ht="12.75" customHeight="1">
      <c r="A718" s="9"/>
      <c r="B718" s="5"/>
      <c r="C718" s="9"/>
      <c r="D718" s="9"/>
      <c r="E718" s="9"/>
      <c r="F718" s="9"/>
      <c r="G718" s="5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ht="12.75" customHeight="1">
      <c r="A719" s="9"/>
      <c r="B719" s="5"/>
      <c r="C719" s="9"/>
      <c r="D719" s="9"/>
      <c r="E719" s="9"/>
      <c r="F719" s="9"/>
      <c r="G719" s="5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ht="12.75" customHeight="1">
      <c r="A720" s="9"/>
      <c r="B720" s="5"/>
      <c r="C720" s="9"/>
      <c r="D720" s="9"/>
      <c r="E720" s="9"/>
      <c r="F720" s="9"/>
      <c r="G720" s="5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ht="12.75" customHeight="1">
      <c r="A721" s="9"/>
      <c r="B721" s="5"/>
      <c r="C721" s="9"/>
      <c r="D721" s="9"/>
      <c r="E721" s="9"/>
      <c r="F721" s="9"/>
      <c r="G721" s="5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ht="12.75" customHeight="1">
      <c r="A722" s="9"/>
      <c r="B722" s="5"/>
      <c r="C722" s="9"/>
      <c r="D722" s="9"/>
      <c r="E722" s="9"/>
      <c r="F722" s="9"/>
      <c r="G722" s="5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ht="12.75" customHeight="1">
      <c r="A723" s="9"/>
      <c r="B723" s="5"/>
      <c r="C723" s="9"/>
      <c r="D723" s="9"/>
      <c r="E723" s="9"/>
      <c r="F723" s="9"/>
      <c r="G723" s="5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ht="12.75" customHeight="1">
      <c r="A724" s="9"/>
      <c r="B724" s="5"/>
      <c r="C724" s="9"/>
      <c r="D724" s="9"/>
      <c r="E724" s="9"/>
      <c r="F724" s="9"/>
      <c r="G724" s="5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ht="12.75" customHeight="1">
      <c r="A725" s="9"/>
      <c r="B725" s="5"/>
      <c r="C725" s="9"/>
      <c r="D725" s="9"/>
      <c r="E725" s="9"/>
      <c r="F725" s="9"/>
      <c r="G725" s="5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ht="12.75" customHeight="1">
      <c r="A726" s="9"/>
      <c r="B726" s="5"/>
      <c r="C726" s="9"/>
      <c r="D726" s="9"/>
      <c r="E726" s="9"/>
      <c r="F726" s="9"/>
      <c r="G726" s="5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ht="12.75" customHeight="1">
      <c r="A727" s="9"/>
      <c r="B727" s="5"/>
      <c r="C727" s="9"/>
      <c r="D727" s="9"/>
      <c r="E727" s="9"/>
      <c r="F727" s="9"/>
      <c r="G727" s="5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ht="12.75" customHeight="1">
      <c r="A728" s="9"/>
      <c r="B728" s="5"/>
      <c r="C728" s="9"/>
      <c r="D728" s="9"/>
      <c r="E728" s="9"/>
      <c r="F728" s="9"/>
      <c r="G728" s="5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ht="12.75" customHeight="1">
      <c r="A729" s="9"/>
      <c r="B729" s="5"/>
      <c r="C729" s="9"/>
      <c r="D729" s="9"/>
      <c r="E729" s="9"/>
      <c r="F729" s="9"/>
      <c r="G729" s="5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ht="12.75" customHeight="1">
      <c r="A730" s="9"/>
      <c r="B730" s="5"/>
      <c r="C730" s="9"/>
      <c r="D730" s="9"/>
      <c r="E730" s="9"/>
      <c r="F730" s="9"/>
      <c r="G730" s="5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ht="12.75" customHeight="1">
      <c r="A731" s="9"/>
      <c r="B731" s="5"/>
      <c r="C731" s="9"/>
      <c r="D731" s="9"/>
      <c r="E731" s="9"/>
      <c r="F731" s="9"/>
      <c r="G731" s="5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ht="12.75" customHeight="1">
      <c r="A732" s="9"/>
      <c r="B732" s="5"/>
      <c r="C732" s="9"/>
      <c r="D732" s="9"/>
      <c r="E732" s="9"/>
      <c r="F732" s="9"/>
      <c r="G732" s="5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ht="12.75" customHeight="1">
      <c r="A733" s="9"/>
      <c r="B733" s="5"/>
      <c r="C733" s="9"/>
      <c r="D733" s="9"/>
      <c r="E733" s="9"/>
      <c r="F733" s="9"/>
      <c r="G733" s="5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ht="12.75" customHeight="1">
      <c r="A734" s="9"/>
      <c r="B734" s="5"/>
      <c r="C734" s="9"/>
      <c r="D734" s="9"/>
      <c r="E734" s="9"/>
      <c r="F734" s="9"/>
      <c r="G734" s="5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ht="12.75" customHeight="1">
      <c r="A735" s="9"/>
      <c r="B735" s="5"/>
      <c r="C735" s="9"/>
      <c r="D735" s="9"/>
      <c r="E735" s="9"/>
      <c r="F735" s="9"/>
      <c r="G735" s="5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ht="12.75" customHeight="1">
      <c r="A736" s="9"/>
      <c r="B736" s="5"/>
      <c r="C736" s="9"/>
      <c r="D736" s="9"/>
      <c r="E736" s="9"/>
      <c r="F736" s="9"/>
      <c r="G736" s="5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ht="12.75" customHeight="1">
      <c r="A737" s="9"/>
      <c r="B737" s="5"/>
      <c r="C737" s="9"/>
      <c r="D737" s="9"/>
      <c r="E737" s="9"/>
      <c r="F737" s="9"/>
      <c r="G737" s="5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ht="12.75" customHeight="1">
      <c r="A738" s="9"/>
      <c r="B738" s="5"/>
      <c r="C738" s="9"/>
      <c r="D738" s="9"/>
      <c r="E738" s="9"/>
      <c r="F738" s="9"/>
      <c r="G738" s="5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ht="12.75" customHeight="1">
      <c r="A739" s="9"/>
      <c r="B739" s="5"/>
      <c r="C739" s="9"/>
      <c r="D739" s="9"/>
      <c r="E739" s="9"/>
      <c r="F739" s="9"/>
      <c r="G739" s="5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ht="12.75" customHeight="1">
      <c r="A740" s="9"/>
      <c r="B740" s="5"/>
      <c r="C740" s="9"/>
      <c r="D740" s="9"/>
      <c r="E740" s="9"/>
      <c r="F740" s="9"/>
      <c r="G740" s="5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ht="12.75" customHeight="1">
      <c r="A741" s="9"/>
      <c r="B741" s="5"/>
      <c r="C741" s="9"/>
      <c r="D741" s="9"/>
      <c r="E741" s="9"/>
      <c r="F741" s="9"/>
      <c r="G741" s="5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ht="12.75" customHeight="1">
      <c r="A742" s="9"/>
      <c r="B742" s="5"/>
      <c r="C742" s="9"/>
      <c r="D742" s="9"/>
      <c r="E742" s="9"/>
      <c r="F742" s="9"/>
      <c r="G742" s="5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ht="12.75" customHeight="1">
      <c r="A743" s="9"/>
      <c r="B743" s="5"/>
      <c r="C743" s="9"/>
      <c r="D743" s="9"/>
      <c r="E743" s="9"/>
      <c r="F743" s="9"/>
      <c r="G743" s="5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ht="12.75" customHeight="1">
      <c r="A744" s="9"/>
      <c r="B744" s="5"/>
      <c r="C744" s="9"/>
      <c r="D744" s="9"/>
      <c r="E744" s="9"/>
      <c r="F744" s="9"/>
      <c r="G744" s="5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ht="12.75" customHeight="1">
      <c r="A745" s="9"/>
      <c r="B745" s="5"/>
      <c r="C745" s="9"/>
      <c r="D745" s="9"/>
      <c r="E745" s="9"/>
      <c r="F745" s="9"/>
      <c r="G745" s="5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ht="12.75" customHeight="1">
      <c r="A746" s="9"/>
      <c r="B746" s="5"/>
      <c r="C746" s="9"/>
      <c r="D746" s="9"/>
      <c r="E746" s="9"/>
      <c r="F746" s="9"/>
      <c r="G746" s="5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ht="12.75" customHeight="1">
      <c r="A747" s="9"/>
      <c r="B747" s="5"/>
      <c r="C747" s="9"/>
      <c r="D747" s="9"/>
      <c r="E747" s="9"/>
      <c r="F747" s="9"/>
      <c r="G747" s="5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ht="12.75" customHeight="1">
      <c r="A748" s="9"/>
      <c r="B748" s="5"/>
      <c r="C748" s="9"/>
      <c r="D748" s="9"/>
      <c r="E748" s="9"/>
      <c r="F748" s="9"/>
      <c r="G748" s="5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ht="12.75" customHeight="1">
      <c r="A749" s="9"/>
      <c r="B749" s="5"/>
      <c r="C749" s="9"/>
      <c r="D749" s="9"/>
      <c r="E749" s="9"/>
      <c r="F749" s="9"/>
      <c r="G749" s="5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ht="12.75" customHeight="1">
      <c r="A750" s="9"/>
      <c r="B750" s="5"/>
      <c r="C750" s="9"/>
      <c r="D750" s="9"/>
      <c r="E750" s="9"/>
      <c r="F750" s="9"/>
      <c r="G750" s="5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ht="12.75" customHeight="1">
      <c r="A751" s="9"/>
      <c r="B751" s="5"/>
      <c r="C751" s="9"/>
      <c r="D751" s="9"/>
      <c r="E751" s="9"/>
      <c r="F751" s="9"/>
      <c r="G751" s="5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ht="12.75" customHeight="1">
      <c r="A752" s="9"/>
      <c r="B752" s="5"/>
      <c r="C752" s="9"/>
      <c r="D752" s="9"/>
      <c r="E752" s="9"/>
      <c r="F752" s="9"/>
      <c r="G752" s="5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ht="12.75" customHeight="1">
      <c r="A753" s="9"/>
      <c r="B753" s="5"/>
      <c r="C753" s="9"/>
      <c r="D753" s="9"/>
      <c r="E753" s="9"/>
      <c r="F753" s="9"/>
      <c r="G753" s="5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ht="12.75" customHeight="1">
      <c r="A754" s="9"/>
      <c r="B754" s="5"/>
      <c r="C754" s="9"/>
      <c r="D754" s="9"/>
      <c r="E754" s="9"/>
      <c r="F754" s="9"/>
      <c r="G754" s="5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ht="12.75" customHeight="1">
      <c r="A755" s="9"/>
      <c r="B755" s="5"/>
      <c r="C755" s="9"/>
      <c r="D755" s="9"/>
      <c r="E755" s="9"/>
      <c r="F755" s="9"/>
      <c r="G755" s="5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ht="12.75" customHeight="1">
      <c r="A756" s="9"/>
      <c r="B756" s="5"/>
      <c r="C756" s="9"/>
      <c r="D756" s="9"/>
      <c r="E756" s="9"/>
      <c r="F756" s="9"/>
      <c r="G756" s="5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ht="12.75" customHeight="1">
      <c r="A757" s="9"/>
      <c r="B757" s="5"/>
      <c r="C757" s="9"/>
      <c r="D757" s="9"/>
      <c r="E757" s="9"/>
      <c r="F757" s="9"/>
      <c r="G757" s="5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ht="12.75" customHeight="1">
      <c r="A758" s="9"/>
      <c r="B758" s="5"/>
      <c r="C758" s="9"/>
      <c r="D758" s="9"/>
      <c r="E758" s="9"/>
      <c r="F758" s="9"/>
      <c r="G758" s="5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ht="12.75" customHeight="1">
      <c r="A759" s="9"/>
      <c r="B759" s="5"/>
      <c r="C759" s="9"/>
      <c r="D759" s="9"/>
      <c r="E759" s="9"/>
      <c r="F759" s="9"/>
      <c r="G759" s="5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ht="12.75" customHeight="1">
      <c r="A760" s="9"/>
      <c r="B760" s="5"/>
      <c r="C760" s="9"/>
      <c r="D760" s="9"/>
      <c r="E760" s="9"/>
      <c r="F760" s="9"/>
      <c r="G760" s="5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ht="12.75" customHeight="1">
      <c r="A761" s="9"/>
      <c r="B761" s="5"/>
      <c r="C761" s="9"/>
      <c r="D761" s="9"/>
      <c r="E761" s="9"/>
      <c r="F761" s="9"/>
      <c r="G761" s="5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ht="12.75" customHeight="1">
      <c r="A762" s="9"/>
      <c r="B762" s="5"/>
      <c r="C762" s="9"/>
      <c r="D762" s="9"/>
      <c r="E762" s="9"/>
      <c r="F762" s="9"/>
      <c r="G762" s="5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ht="12.75" customHeight="1">
      <c r="A763" s="9"/>
      <c r="B763" s="5"/>
      <c r="C763" s="9"/>
      <c r="D763" s="9"/>
      <c r="E763" s="9"/>
      <c r="F763" s="9"/>
      <c r="G763" s="5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ht="12.75" customHeight="1">
      <c r="A764" s="9"/>
      <c r="B764" s="5"/>
      <c r="C764" s="9"/>
      <c r="D764" s="9"/>
      <c r="E764" s="9"/>
      <c r="F764" s="9"/>
      <c r="G764" s="5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ht="12.75" customHeight="1">
      <c r="A765" s="9"/>
      <c r="B765" s="5"/>
      <c r="C765" s="9"/>
      <c r="D765" s="9"/>
      <c r="E765" s="9"/>
      <c r="F765" s="9"/>
      <c r="G765" s="5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ht="12.75" customHeight="1">
      <c r="A766" s="9"/>
      <c r="B766" s="5"/>
      <c r="C766" s="9"/>
      <c r="D766" s="9"/>
      <c r="E766" s="9"/>
      <c r="F766" s="9"/>
      <c r="G766" s="5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ht="12.75" customHeight="1">
      <c r="A767" s="9"/>
      <c r="B767" s="5"/>
      <c r="C767" s="9"/>
      <c r="D767" s="9"/>
      <c r="E767" s="9"/>
      <c r="F767" s="9"/>
      <c r="G767" s="5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ht="12.75" customHeight="1">
      <c r="A768" s="9"/>
      <c r="B768" s="5"/>
      <c r="C768" s="9"/>
      <c r="D768" s="9"/>
      <c r="E768" s="9"/>
      <c r="F768" s="9"/>
      <c r="G768" s="5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ht="12.75" customHeight="1">
      <c r="A769" s="9"/>
      <c r="B769" s="5"/>
      <c r="C769" s="9"/>
      <c r="D769" s="9"/>
      <c r="E769" s="9"/>
      <c r="F769" s="9"/>
      <c r="G769" s="5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ht="12.75" customHeight="1">
      <c r="A770" s="9"/>
      <c r="B770" s="5"/>
      <c r="C770" s="9"/>
      <c r="D770" s="9"/>
      <c r="E770" s="9"/>
      <c r="F770" s="9"/>
      <c r="G770" s="5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ht="12.75" customHeight="1">
      <c r="A771" s="9"/>
      <c r="B771" s="5"/>
      <c r="C771" s="9"/>
      <c r="D771" s="9"/>
      <c r="E771" s="9"/>
      <c r="F771" s="9"/>
      <c r="G771" s="5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ht="12.75" customHeight="1">
      <c r="A772" s="9"/>
      <c r="B772" s="5"/>
      <c r="C772" s="9"/>
      <c r="D772" s="9"/>
      <c r="E772" s="9"/>
      <c r="F772" s="9"/>
      <c r="G772" s="5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ht="12.75" customHeight="1">
      <c r="A773" s="9"/>
      <c r="B773" s="5"/>
      <c r="C773" s="9"/>
      <c r="D773" s="9"/>
      <c r="E773" s="9"/>
      <c r="F773" s="9"/>
      <c r="G773" s="5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ht="12.75" customHeight="1">
      <c r="A774" s="9"/>
      <c r="B774" s="5"/>
      <c r="C774" s="9"/>
      <c r="D774" s="9"/>
      <c r="E774" s="9"/>
      <c r="F774" s="9"/>
      <c r="G774" s="5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ht="12.75" customHeight="1">
      <c r="A775" s="9"/>
      <c r="B775" s="5"/>
      <c r="C775" s="9"/>
      <c r="D775" s="9"/>
      <c r="E775" s="9"/>
      <c r="F775" s="9"/>
      <c r="G775" s="5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ht="12.75" customHeight="1">
      <c r="A776" s="9"/>
      <c r="B776" s="5"/>
      <c r="C776" s="9"/>
      <c r="D776" s="9"/>
      <c r="E776" s="9"/>
      <c r="F776" s="9"/>
      <c r="G776" s="5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ht="12.75" customHeight="1">
      <c r="A777" s="9"/>
      <c r="B777" s="5"/>
      <c r="C777" s="9"/>
      <c r="D777" s="9"/>
      <c r="E777" s="9"/>
      <c r="F777" s="9"/>
      <c r="G777" s="5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ht="12.75" customHeight="1">
      <c r="A778" s="9"/>
      <c r="B778" s="5"/>
      <c r="C778" s="9"/>
      <c r="D778" s="9"/>
      <c r="E778" s="9"/>
      <c r="F778" s="9"/>
      <c r="G778" s="5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ht="12.75" customHeight="1">
      <c r="A779" s="9"/>
      <c r="B779" s="5"/>
      <c r="C779" s="9"/>
      <c r="D779" s="9"/>
      <c r="E779" s="9"/>
      <c r="F779" s="9"/>
      <c r="G779" s="5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ht="12.75" customHeight="1">
      <c r="A780" s="9"/>
      <c r="B780" s="5"/>
      <c r="C780" s="9"/>
      <c r="D780" s="9"/>
      <c r="E780" s="9"/>
      <c r="F780" s="9"/>
      <c r="G780" s="5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ht="12.75" customHeight="1">
      <c r="A781" s="9"/>
      <c r="B781" s="5"/>
      <c r="C781" s="9"/>
      <c r="D781" s="9"/>
      <c r="E781" s="9"/>
      <c r="F781" s="9"/>
      <c r="G781" s="5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ht="12.75" customHeight="1">
      <c r="A782" s="9"/>
      <c r="B782" s="5"/>
      <c r="C782" s="9"/>
      <c r="D782" s="9"/>
      <c r="E782" s="9"/>
      <c r="F782" s="9"/>
      <c r="G782" s="5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ht="12.75" customHeight="1">
      <c r="A783" s="9"/>
      <c r="B783" s="5"/>
      <c r="C783" s="9"/>
      <c r="D783" s="9"/>
      <c r="E783" s="9"/>
      <c r="F783" s="9"/>
      <c r="G783" s="5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ht="12.75" customHeight="1">
      <c r="A784" s="9"/>
      <c r="B784" s="5"/>
      <c r="C784" s="9"/>
      <c r="D784" s="9"/>
      <c r="E784" s="9"/>
      <c r="F784" s="9"/>
      <c r="G784" s="5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ht="12.75" customHeight="1">
      <c r="A785" s="9"/>
      <c r="B785" s="5"/>
      <c r="C785" s="9"/>
      <c r="D785" s="9"/>
      <c r="E785" s="9"/>
      <c r="F785" s="9"/>
      <c r="G785" s="5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ht="12.75" customHeight="1">
      <c r="A786" s="9"/>
      <c r="B786" s="5"/>
      <c r="C786" s="9"/>
      <c r="D786" s="9"/>
      <c r="E786" s="9"/>
      <c r="F786" s="9"/>
      <c r="G786" s="5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ht="12.75" customHeight="1">
      <c r="A787" s="9"/>
      <c r="B787" s="5"/>
      <c r="C787" s="9"/>
      <c r="D787" s="9"/>
      <c r="E787" s="9"/>
      <c r="F787" s="9"/>
      <c r="G787" s="5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ht="12.75" customHeight="1">
      <c r="A788" s="9"/>
      <c r="B788" s="5"/>
      <c r="C788" s="9"/>
      <c r="D788" s="9"/>
      <c r="E788" s="9"/>
      <c r="F788" s="9"/>
      <c r="G788" s="5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ht="12.75" customHeight="1">
      <c r="A789" s="9"/>
      <c r="B789" s="5"/>
      <c r="C789" s="9"/>
      <c r="D789" s="9"/>
      <c r="E789" s="9"/>
      <c r="F789" s="9"/>
      <c r="G789" s="5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ht="12.75" customHeight="1">
      <c r="A790" s="9"/>
      <c r="B790" s="5"/>
      <c r="C790" s="9"/>
      <c r="D790" s="9"/>
      <c r="E790" s="9"/>
      <c r="F790" s="9"/>
      <c r="G790" s="5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ht="12.75" customHeight="1">
      <c r="A791" s="9"/>
      <c r="B791" s="5"/>
      <c r="C791" s="9"/>
      <c r="D791" s="9"/>
      <c r="E791" s="9"/>
      <c r="F791" s="9"/>
      <c r="G791" s="5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ht="12.75" customHeight="1">
      <c r="A792" s="9"/>
      <c r="B792" s="5"/>
      <c r="C792" s="9"/>
      <c r="D792" s="9"/>
      <c r="E792" s="9"/>
      <c r="F792" s="9"/>
      <c r="G792" s="5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ht="12.75" customHeight="1">
      <c r="A793" s="9"/>
      <c r="B793" s="5"/>
      <c r="C793" s="9"/>
      <c r="D793" s="9"/>
      <c r="E793" s="9"/>
      <c r="F793" s="9"/>
      <c r="G793" s="5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ht="12.75" customHeight="1">
      <c r="A794" s="9"/>
      <c r="B794" s="5"/>
      <c r="C794" s="9"/>
      <c r="D794" s="9"/>
      <c r="E794" s="9"/>
      <c r="F794" s="9"/>
      <c r="G794" s="5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ht="12.75" customHeight="1">
      <c r="A795" s="9"/>
      <c r="B795" s="5"/>
      <c r="C795" s="9"/>
      <c r="D795" s="9"/>
      <c r="E795" s="9"/>
      <c r="F795" s="9"/>
      <c r="G795" s="5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ht="12.75" customHeight="1">
      <c r="A796" s="9"/>
      <c r="B796" s="5"/>
      <c r="C796" s="9"/>
      <c r="D796" s="9"/>
      <c r="E796" s="9"/>
      <c r="F796" s="9"/>
      <c r="G796" s="5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ht="12.75" customHeight="1">
      <c r="A797" s="9"/>
      <c r="B797" s="5"/>
      <c r="C797" s="9"/>
      <c r="D797" s="9"/>
      <c r="E797" s="9"/>
      <c r="F797" s="9"/>
      <c r="G797" s="5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ht="12.75" customHeight="1">
      <c r="A798" s="9"/>
      <c r="B798" s="5"/>
      <c r="C798" s="9"/>
      <c r="D798" s="9"/>
      <c r="E798" s="9"/>
      <c r="F798" s="9"/>
      <c r="G798" s="5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ht="12.75" customHeight="1">
      <c r="A799" s="9"/>
      <c r="B799" s="5"/>
      <c r="C799" s="9"/>
      <c r="D799" s="9"/>
      <c r="E799" s="9"/>
      <c r="F799" s="9"/>
      <c r="G799" s="5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ht="12.75" customHeight="1">
      <c r="A800" s="9"/>
      <c r="B800" s="5"/>
      <c r="C800" s="9"/>
      <c r="D800" s="9"/>
      <c r="E800" s="9"/>
      <c r="F800" s="9"/>
      <c r="G800" s="5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ht="12.75" customHeight="1">
      <c r="A801" s="9"/>
      <c r="B801" s="5"/>
      <c r="C801" s="9"/>
      <c r="D801" s="9"/>
      <c r="E801" s="9"/>
      <c r="F801" s="9"/>
      <c r="G801" s="5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ht="12.75" customHeight="1">
      <c r="A802" s="9"/>
      <c r="B802" s="5"/>
      <c r="C802" s="9"/>
      <c r="D802" s="9"/>
      <c r="E802" s="9"/>
      <c r="F802" s="9"/>
      <c r="G802" s="5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ht="12.75" customHeight="1">
      <c r="A803" s="9"/>
      <c r="B803" s="5"/>
      <c r="C803" s="9"/>
      <c r="D803" s="9"/>
      <c r="E803" s="9"/>
      <c r="F803" s="9"/>
      <c r="G803" s="5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ht="12.75" customHeight="1">
      <c r="A804" s="9"/>
      <c r="B804" s="5"/>
      <c r="C804" s="9"/>
      <c r="D804" s="9"/>
      <c r="E804" s="9"/>
      <c r="F804" s="9"/>
      <c r="G804" s="5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ht="12.75" customHeight="1">
      <c r="A805" s="9"/>
      <c r="B805" s="5"/>
      <c r="C805" s="9"/>
      <c r="D805" s="9"/>
      <c r="E805" s="9"/>
      <c r="F805" s="9"/>
      <c r="G805" s="5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ht="12.75" customHeight="1">
      <c r="A806" s="9"/>
      <c r="B806" s="5"/>
      <c r="C806" s="9"/>
      <c r="D806" s="9"/>
      <c r="E806" s="9"/>
      <c r="F806" s="9"/>
      <c r="G806" s="5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ht="12.75" customHeight="1">
      <c r="A807" s="9"/>
      <c r="B807" s="5"/>
      <c r="C807" s="9"/>
      <c r="D807" s="9"/>
      <c r="E807" s="9"/>
      <c r="F807" s="9"/>
      <c r="G807" s="5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ht="12.75" customHeight="1">
      <c r="A808" s="9"/>
      <c r="B808" s="5"/>
      <c r="C808" s="9"/>
      <c r="D808" s="9"/>
      <c r="E808" s="9"/>
      <c r="F808" s="9"/>
      <c r="G808" s="5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ht="12.75" customHeight="1">
      <c r="A809" s="9"/>
      <c r="B809" s="5"/>
      <c r="C809" s="9"/>
      <c r="D809" s="9"/>
      <c r="E809" s="9"/>
      <c r="F809" s="9"/>
      <c r="G809" s="5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ht="12.75" customHeight="1">
      <c r="A810" s="9"/>
      <c r="B810" s="5"/>
      <c r="C810" s="9"/>
      <c r="D810" s="9"/>
      <c r="E810" s="9"/>
      <c r="F810" s="9"/>
      <c r="G810" s="5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ht="12.75" customHeight="1">
      <c r="A811" s="9"/>
      <c r="B811" s="5"/>
      <c r="C811" s="9"/>
      <c r="D811" s="9"/>
      <c r="E811" s="9"/>
      <c r="F811" s="9"/>
      <c r="G811" s="5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ht="12.75" customHeight="1">
      <c r="A812" s="9"/>
      <c r="B812" s="5"/>
      <c r="C812" s="9"/>
      <c r="D812" s="9"/>
      <c r="E812" s="9"/>
      <c r="F812" s="9"/>
      <c r="G812" s="5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ht="12.75" customHeight="1">
      <c r="A813" s="9"/>
      <c r="B813" s="5"/>
      <c r="C813" s="9"/>
      <c r="D813" s="9"/>
      <c r="E813" s="9"/>
      <c r="F813" s="9"/>
      <c r="G813" s="5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ht="12.75" customHeight="1">
      <c r="A814" s="9"/>
      <c r="B814" s="5"/>
      <c r="C814" s="9"/>
      <c r="D814" s="9"/>
      <c r="E814" s="9"/>
      <c r="F814" s="9"/>
      <c r="G814" s="5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ht="12.75" customHeight="1">
      <c r="A815" s="9"/>
      <c r="B815" s="5"/>
      <c r="C815" s="9"/>
      <c r="D815" s="9"/>
      <c r="E815" s="9"/>
      <c r="F815" s="9"/>
      <c r="G815" s="5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ht="12.75" customHeight="1">
      <c r="A816" s="9"/>
      <c r="B816" s="5"/>
      <c r="C816" s="9"/>
      <c r="D816" s="9"/>
      <c r="E816" s="9"/>
      <c r="F816" s="9"/>
      <c r="G816" s="5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ht="12.75" customHeight="1">
      <c r="A817" s="9"/>
      <c r="B817" s="5"/>
      <c r="C817" s="9"/>
      <c r="D817" s="9"/>
      <c r="E817" s="9"/>
      <c r="F817" s="9"/>
      <c r="G817" s="5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ht="12.75" customHeight="1">
      <c r="A818" s="9"/>
      <c r="B818" s="5"/>
      <c r="C818" s="9"/>
      <c r="D818" s="9"/>
      <c r="E818" s="9"/>
      <c r="F818" s="9"/>
      <c r="G818" s="5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ht="12.75" customHeight="1">
      <c r="A819" s="9"/>
      <c r="B819" s="5"/>
      <c r="C819" s="9"/>
      <c r="D819" s="9"/>
      <c r="E819" s="9"/>
      <c r="F819" s="9"/>
      <c r="G819" s="5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ht="12.75" customHeight="1">
      <c r="A820" s="9"/>
      <c r="B820" s="5"/>
      <c r="C820" s="9"/>
      <c r="D820" s="9"/>
      <c r="E820" s="9"/>
      <c r="F820" s="9"/>
      <c r="G820" s="5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ht="12.75" customHeight="1">
      <c r="A821" s="9"/>
      <c r="B821" s="5"/>
      <c r="C821" s="9"/>
      <c r="D821" s="9"/>
      <c r="E821" s="9"/>
      <c r="F821" s="9"/>
      <c r="G821" s="5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ht="12.75" customHeight="1">
      <c r="A822" s="9"/>
      <c r="B822" s="5"/>
      <c r="C822" s="9"/>
      <c r="D822" s="9"/>
      <c r="E822" s="9"/>
      <c r="F822" s="9"/>
      <c r="G822" s="5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ht="12.75" customHeight="1">
      <c r="A823" s="9"/>
      <c r="B823" s="5"/>
      <c r="C823" s="9"/>
      <c r="D823" s="9"/>
      <c r="E823" s="9"/>
      <c r="F823" s="9"/>
      <c r="G823" s="5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ht="12.75" customHeight="1">
      <c r="A824" s="9"/>
      <c r="B824" s="5"/>
      <c r="C824" s="9"/>
      <c r="D824" s="9"/>
      <c r="E824" s="9"/>
      <c r="F824" s="9"/>
      <c r="G824" s="5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ht="12.75" customHeight="1">
      <c r="A825" s="9"/>
      <c r="B825" s="5"/>
      <c r="C825" s="9"/>
      <c r="D825" s="9"/>
      <c r="E825" s="9"/>
      <c r="F825" s="9"/>
      <c r="G825" s="5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ht="12.75" customHeight="1">
      <c r="A826" s="9"/>
      <c r="B826" s="5"/>
      <c r="C826" s="9"/>
      <c r="D826" s="9"/>
      <c r="E826" s="9"/>
      <c r="F826" s="9"/>
      <c r="G826" s="5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ht="12.75" customHeight="1">
      <c r="A827" s="9"/>
      <c r="B827" s="5"/>
      <c r="C827" s="9"/>
      <c r="D827" s="9"/>
      <c r="E827" s="9"/>
      <c r="F827" s="9"/>
      <c r="G827" s="5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ht="12.75" customHeight="1">
      <c r="A828" s="9"/>
      <c r="B828" s="5"/>
      <c r="C828" s="9"/>
      <c r="D828" s="9"/>
      <c r="E828" s="9"/>
      <c r="F828" s="9"/>
      <c r="G828" s="5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ht="12.75" customHeight="1">
      <c r="A829" s="9"/>
      <c r="B829" s="5"/>
      <c r="C829" s="9"/>
      <c r="D829" s="9"/>
      <c r="E829" s="9"/>
      <c r="F829" s="9"/>
      <c r="G829" s="5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ht="12.75" customHeight="1">
      <c r="A830" s="9"/>
      <c r="B830" s="5"/>
      <c r="C830" s="9"/>
      <c r="D830" s="9"/>
      <c r="E830" s="9"/>
      <c r="F830" s="9"/>
      <c r="G830" s="5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ht="12.75" customHeight="1">
      <c r="A831" s="9"/>
      <c r="B831" s="5"/>
      <c r="C831" s="9"/>
      <c r="D831" s="9"/>
      <c r="E831" s="9"/>
      <c r="F831" s="9"/>
      <c r="G831" s="5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ht="12.75" customHeight="1">
      <c r="A832" s="9"/>
      <c r="B832" s="5"/>
      <c r="C832" s="9"/>
      <c r="D832" s="9"/>
      <c r="E832" s="9"/>
      <c r="F832" s="9"/>
      <c r="G832" s="5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ht="12.75" customHeight="1">
      <c r="A833" s="9"/>
      <c r="B833" s="5"/>
      <c r="C833" s="9"/>
      <c r="D833" s="9"/>
      <c r="E833" s="9"/>
      <c r="F833" s="9"/>
      <c r="G833" s="5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ht="12.75" customHeight="1">
      <c r="A834" s="9"/>
      <c r="B834" s="5"/>
      <c r="C834" s="9"/>
      <c r="D834" s="9"/>
      <c r="E834" s="9"/>
      <c r="F834" s="9"/>
      <c r="G834" s="5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ht="12.75" customHeight="1">
      <c r="A835" s="9"/>
      <c r="B835" s="5"/>
      <c r="C835" s="9"/>
      <c r="D835" s="9"/>
      <c r="E835" s="9"/>
      <c r="F835" s="9"/>
      <c r="G835" s="5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ht="12.75" customHeight="1">
      <c r="A836" s="9"/>
      <c r="B836" s="5"/>
      <c r="C836" s="9"/>
      <c r="D836" s="9"/>
      <c r="E836" s="9"/>
      <c r="F836" s="9"/>
      <c r="G836" s="5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ht="12.75" customHeight="1">
      <c r="A837" s="9"/>
      <c r="B837" s="5"/>
      <c r="C837" s="9"/>
      <c r="D837" s="9"/>
      <c r="E837" s="9"/>
      <c r="F837" s="9"/>
      <c r="G837" s="5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ht="12.75" customHeight="1">
      <c r="A838" s="9"/>
      <c r="B838" s="5"/>
      <c r="C838" s="9"/>
      <c r="D838" s="9"/>
      <c r="E838" s="9"/>
      <c r="F838" s="9"/>
      <c r="G838" s="5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ht="12.75" customHeight="1">
      <c r="A839" s="9"/>
      <c r="B839" s="5"/>
      <c r="C839" s="9"/>
      <c r="D839" s="9"/>
      <c r="E839" s="9"/>
      <c r="F839" s="9"/>
      <c r="G839" s="5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ht="12.75" customHeight="1">
      <c r="A840" s="9"/>
      <c r="B840" s="5"/>
      <c r="C840" s="9"/>
      <c r="D840" s="9"/>
      <c r="E840" s="9"/>
      <c r="F840" s="9"/>
      <c r="G840" s="5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ht="12.75" customHeight="1">
      <c r="A841" s="9"/>
      <c r="B841" s="5"/>
      <c r="C841" s="9"/>
      <c r="D841" s="9"/>
      <c r="E841" s="9"/>
      <c r="F841" s="9"/>
      <c r="G841" s="5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ht="12.75" customHeight="1">
      <c r="A842" s="9"/>
      <c r="B842" s="5"/>
      <c r="C842" s="9"/>
      <c r="D842" s="9"/>
      <c r="E842" s="9"/>
      <c r="F842" s="9"/>
      <c r="G842" s="5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ht="12.75" customHeight="1">
      <c r="A843" s="9"/>
      <c r="B843" s="5"/>
      <c r="C843" s="9"/>
      <c r="D843" s="9"/>
      <c r="E843" s="9"/>
      <c r="F843" s="9"/>
      <c r="G843" s="5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ht="12.75" customHeight="1">
      <c r="A844" s="9"/>
      <c r="B844" s="5"/>
      <c r="C844" s="9"/>
      <c r="D844" s="9"/>
      <c r="E844" s="9"/>
      <c r="F844" s="9"/>
      <c r="G844" s="5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ht="12.75" customHeight="1">
      <c r="A845" s="9"/>
      <c r="B845" s="5"/>
      <c r="C845" s="9"/>
      <c r="D845" s="9"/>
      <c r="E845" s="9"/>
      <c r="F845" s="9"/>
      <c r="G845" s="5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ht="12.75" customHeight="1">
      <c r="A846" s="9"/>
      <c r="B846" s="5"/>
      <c r="C846" s="9"/>
      <c r="D846" s="9"/>
      <c r="E846" s="9"/>
      <c r="F846" s="9"/>
      <c r="G846" s="5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ht="12.75" customHeight="1">
      <c r="A847" s="9"/>
      <c r="B847" s="5"/>
      <c r="C847" s="9"/>
      <c r="D847" s="9"/>
      <c r="E847" s="9"/>
      <c r="F847" s="9"/>
      <c r="G847" s="5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ht="12.75" customHeight="1">
      <c r="A848" s="9"/>
      <c r="B848" s="5"/>
      <c r="C848" s="9"/>
      <c r="D848" s="9"/>
      <c r="E848" s="9"/>
      <c r="F848" s="9"/>
      <c r="G848" s="5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ht="12.75" customHeight="1">
      <c r="A849" s="9"/>
      <c r="B849" s="5"/>
      <c r="C849" s="9"/>
      <c r="D849" s="9"/>
      <c r="E849" s="9"/>
      <c r="F849" s="9"/>
      <c r="G849" s="5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ht="12.75" customHeight="1">
      <c r="A850" s="9"/>
      <c r="B850" s="5"/>
      <c r="C850" s="9"/>
      <c r="D850" s="9"/>
      <c r="E850" s="9"/>
      <c r="F850" s="9"/>
      <c r="G850" s="5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ht="12.75" customHeight="1">
      <c r="A851" s="9"/>
      <c r="B851" s="5"/>
      <c r="C851" s="9"/>
      <c r="D851" s="9"/>
      <c r="E851" s="9"/>
      <c r="F851" s="9"/>
      <c r="G851" s="5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ht="12.75" customHeight="1">
      <c r="A852" s="9"/>
      <c r="B852" s="5"/>
      <c r="C852" s="9"/>
      <c r="D852" s="9"/>
      <c r="E852" s="9"/>
      <c r="F852" s="9"/>
      <c r="G852" s="5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ht="12.75" customHeight="1">
      <c r="A853" s="9"/>
      <c r="B853" s="5"/>
      <c r="C853" s="9"/>
      <c r="D853" s="9"/>
      <c r="E853" s="9"/>
      <c r="F853" s="9"/>
      <c r="G853" s="5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ht="12.75" customHeight="1">
      <c r="A854" s="9"/>
      <c r="B854" s="5"/>
      <c r="C854" s="9"/>
      <c r="D854" s="9"/>
      <c r="E854" s="9"/>
      <c r="F854" s="9"/>
      <c r="G854" s="5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ht="12.75" customHeight="1">
      <c r="A855" s="9"/>
      <c r="B855" s="5"/>
      <c r="C855" s="9"/>
      <c r="D855" s="9"/>
      <c r="E855" s="9"/>
      <c r="F855" s="9"/>
      <c r="G855" s="5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ht="12.75" customHeight="1">
      <c r="A856" s="9"/>
      <c r="B856" s="5"/>
      <c r="C856" s="9"/>
      <c r="D856" s="9"/>
      <c r="E856" s="9"/>
      <c r="F856" s="9"/>
      <c r="G856" s="5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ht="12.75" customHeight="1">
      <c r="A857" s="9"/>
      <c r="B857" s="5"/>
      <c r="C857" s="9"/>
      <c r="D857" s="9"/>
      <c r="E857" s="9"/>
      <c r="F857" s="9"/>
      <c r="G857" s="5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ht="12.75" customHeight="1">
      <c r="A858" s="9"/>
      <c r="B858" s="5"/>
      <c r="C858" s="9"/>
      <c r="D858" s="9"/>
      <c r="E858" s="9"/>
      <c r="F858" s="9"/>
      <c r="G858" s="5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ht="12.75" customHeight="1">
      <c r="A859" s="9"/>
      <c r="B859" s="5"/>
      <c r="C859" s="9"/>
      <c r="D859" s="9"/>
      <c r="E859" s="9"/>
      <c r="F859" s="9"/>
      <c r="G859" s="5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ht="12.75" customHeight="1">
      <c r="A860" s="9"/>
      <c r="B860" s="5"/>
      <c r="C860" s="9"/>
      <c r="D860" s="9"/>
      <c r="E860" s="9"/>
      <c r="F860" s="9"/>
      <c r="G860" s="5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ht="12.75" customHeight="1">
      <c r="A861" s="9"/>
      <c r="B861" s="5"/>
      <c r="C861" s="9"/>
      <c r="D861" s="9"/>
      <c r="E861" s="9"/>
      <c r="F861" s="9"/>
      <c r="G861" s="5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ht="12.75" customHeight="1">
      <c r="A862" s="9"/>
      <c r="B862" s="5"/>
      <c r="C862" s="9"/>
      <c r="D862" s="9"/>
      <c r="E862" s="9"/>
      <c r="F862" s="9"/>
      <c r="G862" s="5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ht="12.75" customHeight="1">
      <c r="A863" s="9"/>
      <c r="B863" s="5"/>
      <c r="C863" s="9"/>
      <c r="D863" s="9"/>
      <c r="E863" s="9"/>
      <c r="F863" s="9"/>
      <c r="G863" s="5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ht="12.75" customHeight="1">
      <c r="A864" s="9"/>
      <c r="B864" s="5"/>
      <c r="C864" s="9"/>
      <c r="D864" s="9"/>
      <c r="E864" s="9"/>
      <c r="F864" s="9"/>
      <c r="G864" s="5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ht="12.75" customHeight="1">
      <c r="A865" s="9"/>
      <c r="B865" s="5"/>
      <c r="C865" s="9"/>
      <c r="D865" s="9"/>
      <c r="E865" s="9"/>
      <c r="F865" s="9"/>
      <c r="G865" s="5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ht="12.75" customHeight="1">
      <c r="A866" s="9"/>
      <c r="B866" s="5"/>
      <c r="C866" s="9"/>
      <c r="D866" s="9"/>
      <c r="E866" s="9"/>
      <c r="F866" s="9"/>
      <c r="G866" s="5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ht="12.75" customHeight="1">
      <c r="A867" s="9"/>
      <c r="B867" s="5"/>
      <c r="C867" s="9"/>
      <c r="D867" s="9"/>
      <c r="E867" s="9"/>
      <c r="F867" s="9"/>
      <c r="G867" s="5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ht="12.75" customHeight="1">
      <c r="A868" s="9"/>
      <c r="B868" s="5"/>
      <c r="C868" s="9"/>
      <c r="D868" s="9"/>
      <c r="E868" s="9"/>
      <c r="F868" s="9"/>
      <c r="G868" s="5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ht="12.75" customHeight="1">
      <c r="A869" s="9"/>
      <c r="B869" s="5"/>
      <c r="C869" s="9"/>
      <c r="D869" s="9"/>
      <c r="E869" s="9"/>
      <c r="F869" s="9"/>
      <c r="G869" s="5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ht="12.75" customHeight="1">
      <c r="A870" s="9"/>
      <c r="B870" s="5"/>
      <c r="C870" s="9"/>
      <c r="D870" s="9"/>
      <c r="E870" s="9"/>
      <c r="F870" s="9"/>
      <c r="G870" s="5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ht="12.75" customHeight="1">
      <c r="A871" s="9"/>
      <c r="B871" s="5"/>
      <c r="C871" s="9"/>
      <c r="D871" s="9"/>
      <c r="E871" s="9"/>
      <c r="F871" s="9"/>
      <c r="G871" s="5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ht="12.75" customHeight="1">
      <c r="A872" s="9"/>
      <c r="B872" s="5"/>
      <c r="C872" s="9"/>
      <c r="D872" s="9"/>
      <c r="E872" s="9"/>
      <c r="F872" s="9"/>
      <c r="G872" s="5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ht="12.75" customHeight="1">
      <c r="A873" s="9"/>
      <c r="B873" s="5"/>
      <c r="C873" s="9"/>
      <c r="D873" s="9"/>
      <c r="E873" s="9"/>
      <c r="F873" s="9"/>
      <c r="G873" s="5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ht="12.75" customHeight="1">
      <c r="A874" s="9"/>
      <c r="B874" s="5"/>
      <c r="C874" s="9"/>
      <c r="D874" s="9"/>
      <c r="E874" s="9"/>
      <c r="F874" s="9"/>
      <c r="G874" s="5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ht="12.75" customHeight="1">
      <c r="A875" s="9"/>
      <c r="B875" s="5"/>
      <c r="C875" s="9"/>
      <c r="D875" s="9"/>
      <c r="E875" s="9"/>
      <c r="F875" s="9"/>
      <c r="G875" s="5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ht="12.75" customHeight="1">
      <c r="A876" s="9"/>
      <c r="B876" s="5"/>
      <c r="C876" s="9"/>
      <c r="D876" s="9"/>
      <c r="E876" s="9"/>
      <c r="F876" s="9"/>
      <c r="G876" s="5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ht="12.75" customHeight="1">
      <c r="A877" s="9"/>
      <c r="B877" s="5"/>
      <c r="C877" s="9"/>
      <c r="D877" s="9"/>
      <c r="E877" s="9"/>
      <c r="F877" s="9"/>
      <c r="G877" s="5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ht="12.75" customHeight="1">
      <c r="A878" s="9"/>
      <c r="B878" s="5"/>
      <c r="C878" s="9"/>
      <c r="D878" s="9"/>
      <c r="E878" s="9"/>
      <c r="F878" s="9"/>
      <c r="G878" s="5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ht="12.75" customHeight="1">
      <c r="A879" s="9"/>
      <c r="B879" s="5"/>
      <c r="C879" s="9"/>
      <c r="D879" s="9"/>
      <c r="E879" s="9"/>
      <c r="F879" s="9"/>
      <c r="G879" s="5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ht="12.75" customHeight="1">
      <c r="A880" s="9"/>
      <c r="B880" s="5"/>
      <c r="C880" s="9"/>
      <c r="D880" s="9"/>
      <c r="E880" s="9"/>
      <c r="F880" s="9"/>
      <c r="G880" s="5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ht="12.75" customHeight="1">
      <c r="A881" s="9"/>
      <c r="B881" s="5"/>
      <c r="C881" s="9"/>
      <c r="D881" s="9"/>
      <c r="E881" s="9"/>
      <c r="F881" s="9"/>
      <c r="G881" s="5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ht="12.75" customHeight="1">
      <c r="A882" s="9"/>
      <c r="B882" s="5"/>
      <c r="C882" s="9"/>
      <c r="D882" s="9"/>
      <c r="E882" s="9"/>
      <c r="F882" s="9"/>
      <c r="G882" s="5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ht="12.75" customHeight="1">
      <c r="A883" s="9"/>
      <c r="B883" s="5"/>
      <c r="C883" s="9"/>
      <c r="D883" s="9"/>
      <c r="E883" s="9"/>
      <c r="F883" s="9"/>
      <c r="G883" s="5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ht="12.75" customHeight="1">
      <c r="A884" s="9"/>
      <c r="B884" s="5"/>
      <c r="C884" s="9"/>
      <c r="D884" s="9"/>
      <c r="E884" s="9"/>
      <c r="F884" s="9"/>
      <c r="G884" s="5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ht="12.75" customHeight="1">
      <c r="A885" s="9"/>
      <c r="B885" s="5"/>
      <c r="C885" s="9"/>
      <c r="D885" s="9"/>
      <c r="E885" s="9"/>
      <c r="F885" s="9"/>
      <c r="G885" s="5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ht="12.75" customHeight="1">
      <c r="A886" s="9"/>
      <c r="B886" s="5"/>
      <c r="C886" s="9"/>
      <c r="D886" s="9"/>
      <c r="E886" s="9"/>
      <c r="F886" s="9"/>
      <c r="G886" s="5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ht="12.75" customHeight="1">
      <c r="A887" s="9"/>
      <c r="B887" s="5"/>
      <c r="C887" s="9"/>
      <c r="D887" s="9"/>
      <c r="E887" s="9"/>
      <c r="F887" s="9"/>
      <c r="G887" s="5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ht="12.75" customHeight="1">
      <c r="A888" s="9"/>
      <c r="B888" s="5"/>
      <c r="C888" s="9"/>
      <c r="D888" s="9"/>
      <c r="E888" s="9"/>
      <c r="F888" s="9"/>
      <c r="G888" s="5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ht="12.75" customHeight="1">
      <c r="A889" s="9"/>
      <c r="B889" s="5"/>
      <c r="C889" s="9"/>
      <c r="D889" s="9"/>
      <c r="E889" s="9"/>
      <c r="F889" s="9"/>
      <c r="G889" s="5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ht="12.75" customHeight="1">
      <c r="A890" s="9"/>
      <c r="B890" s="5"/>
      <c r="C890" s="9"/>
      <c r="D890" s="9"/>
      <c r="E890" s="9"/>
      <c r="F890" s="9"/>
      <c r="G890" s="5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ht="12.75" customHeight="1">
      <c r="A891" s="9"/>
      <c r="B891" s="5"/>
      <c r="C891" s="9"/>
      <c r="D891" s="9"/>
      <c r="E891" s="9"/>
      <c r="F891" s="9"/>
      <c r="G891" s="5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ht="12.75" customHeight="1">
      <c r="A892" s="9"/>
      <c r="B892" s="5"/>
      <c r="C892" s="9"/>
      <c r="D892" s="9"/>
      <c r="E892" s="9"/>
      <c r="F892" s="9"/>
      <c r="G892" s="5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ht="12.75" customHeight="1">
      <c r="A893" s="9"/>
      <c r="B893" s="5"/>
      <c r="C893" s="9"/>
      <c r="D893" s="9"/>
      <c r="E893" s="9"/>
      <c r="F893" s="9"/>
      <c r="G893" s="5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ht="12.75" customHeight="1">
      <c r="A894" s="9"/>
      <c r="B894" s="5"/>
      <c r="C894" s="9"/>
      <c r="D894" s="9"/>
      <c r="E894" s="9"/>
      <c r="F894" s="9"/>
      <c r="G894" s="5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ht="12.75" customHeight="1">
      <c r="A895" s="9"/>
      <c r="B895" s="5"/>
      <c r="C895" s="9"/>
      <c r="D895" s="9"/>
      <c r="E895" s="9"/>
      <c r="F895" s="9"/>
      <c r="G895" s="5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ht="12.75" customHeight="1">
      <c r="A896" s="9"/>
      <c r="B896" s="5"/>
      <c r="C896" s="9"/>
      <c r="D896" s="9"/>
      <c r="E896" s="9"/>
      <c r="F896" s="9"/>
      <c r="G896" s="5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ht="12.75" customHeight="1">
      <c r="A897" s="9"/>
      <c r="B897" s="5"/>
      <c r="C897" s="9"/>
      <c r="D897" s="9"/>
      <c r="E897" s="9"/>
      <c r="F897" s="9"/>
      <c r="G897" s="5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ht="12.75" customHeight="1">
      <c r="A898" s="9"/>
      <c r="B898" s="5"/>
      <c r="C898" s="9"/>
      <c r="D898" s="9"/>
      <c r="E898" s="9"/>
      <c r="F898" s="9"/>
      <c r="G898" s="5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ht="12.75" customHeight="1">
      <c r="A899" s="9"/>
      <c r="B899" s="5"/>
      <c r="C899" s="9"/>
      <c r="D899" s="9"/>
      <c r="E899" s="9"/>
      <c r="F899" s="9"/>
      <c r="G899" s="5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ht="12.75" customHeight="1">
      <c r="A900" s="9"/>
      <c r="B900" s="5"/>
      <c r="C900" s="9"/>
      <c r="D900" s="9"/>
      <c r="E900" s="9"/>
      <c r="F900" s="9"/>
      <c r="G900" s="5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ht="12.75" customHeight="1">
      <c r="A901" s="9"/>
      <c r="B901" s="5"/>
      <c r="C901" s="9"/>
      <c r="D901" s="9"/>
      <c r="E901" s="9"/>
      <c r="F901" s="9"/>
      <c r="G901" s="5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ht="12.75" customHeight="1">
      <c r="A902" s="9"/>
      <c r="B902" s="5"/>
      <c r="C902" s="9"/>
      <c r="D902" s="9"/>
      <c r="E902" s="9"/>
      <c r="F902" s="9"/>
      <c r="G902" s="5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ht="12.75" customHeight="1">
      <c r="A903" s="9"/>
      <c r="B903" s="5"/>
      <c r="C903" s="9"/>
      <c r="D903" s="9"/>
      <c r="E903" s="9"/>
      <c r="F903" s="9"/>
      <c r="G903" s="5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ht="12.75" customHeight="1">
      <c r="A904" s="9"/>
      <c r="B904" s="5"/>
      <c r="C904" s="9"/>
      <c r="D904" s="9"/>
      <c r="E904" s="9"/>
      <c r="F904" s="9"/>
      <c r="G904" s="5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ht="12.75" customHeight="1">
      <c r="A905" s="9"/>
      <c r="B905" s="5"/>
      <c r="C905" s="9"/>
      <c r="D905" s="9"/>
      <c r="E905" s="9"/>
      <c r="F905" s="9"/>
      <c r="G905" s="5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ht="12.75" customHeight="1">
      <c r="A906" s="9"/>
      <c r="B906" s="5"/>
      <c r="C906" s="9"/>
      <c r="D906" s="9"/>
      <c r="E906" s="9"/>
      <c r="F906" s="9"/>
      <c r="G906" s="5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ht="12.75" customHeight="1">
      <c r="A907" s="9"/>
      <c r="B907" s="5"/>
      <c r="C907" s="9"/>
      <c r="D907" s="9"/>
      <c r="E907" s="9"/>
      <c r="F907" s="9"/>
      <c r="G907" s="5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ht="12.75" customHeight="1">
      <c r="A908" s="9"/>
      <c r="B908" s="5"/>
      <c r="C908" s="9"/>
      <c r="D908" s="9"/>
      <c r="E908" s="9"/>
      <c r="F908" s="9"/>
      <c r="G908" s="5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ht="12.75" customHeight="1">
      <c r="A909" s="9"/>
      <c r="B909" s="5"/>
      <c r="C909" s="9"/>
      <c r="D909" s="9"/>
      <c r="E909" s="9"/>
      <c r="F909" s="9"/>
      <c r="G909" s="5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ht="12.75" customHeight="1">
      <c r="A910" s="9"/>
      <c r="B910" s="5"/>
      <c r="C910" s="9"/>
      <c r="D910" s="9"/>
      <c r="E910" s="9"/>
      <c r="F910" s="9"/>
      <c r="G910" s="5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ht="12.75" customHeight="1">
      <c r="A911" s="9"/>
      <c r="B911" s="5"/>
      <c r="C911" s="9"/>
      <c r="D911" s="9"/>
      <c r="E911" s="9"/>
      <c r="F911" s="9"/>
      <c r="G911" s="5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ht="12.75" customHeight="1">
      <c r="A912" s="9"/>
      <c r="B912" s="5"/>
      <c r="C912" s="9"/>
      <c r="D912" s="9"/>
      <c r="E912" s="9"/>
      <c r="F912" s="9"/>
      <c r="G912" s="5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ht="12.75" customHeight="1">
      <c r="A913" s="9"/>
      <c r="B913" s="5"/>
      <c r="C913" s="9"/>
      <c r="D913" s="9"/>
      <c r="E913" s="9"/>
      <c r="F913" s="9"/>
      <c r="G913" s="5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ht="12.75" customHeight="1">
      <c r="A914" s="9"/>
      <c r="B914" s="5"/>
      <c r="C914" s="9"/>
      <c r="D914" s="9"/>
      <c r="E914" s="9"/>
      <c r="F914" s="9"/>
      <c r="G914" s="5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ht="12.75" customHeight="1">
      <c r="A915" s="9"/>
      <c r="B915" s="5"/>
      <c r="C915" s="9"/>
      <c r="D915" s="9"/>
      <c r="E915" s="9"/>
      <c r="F915" s="9"/>
      <c r="G915" s="5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ht="12.75" customHeight="1">
      <c r="A916" s="9"/>
      <c r="B916" s="5"/>
      <c r="C916" s="9"/>
      <c r="D916" s="9"/>
      <c r="E916" s="9"/>
      <c r="F916" s="9"/>
      <c r="G916" s="5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ht="12.75" customHeight="1">
      <c r="A917" s="9"/>
      <c r="B917" s="5"/>
      <c r="C917" s="9"/>
      <c r="D917" s="9"/>
      <c r="E917" s="9"/>
      <c r="F917" s="9"/>
      <c r="G917" s="5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ht="12.75" customHeight="1">
      <c r="A918" s="9"/>
      <c r="B918" s="5"/>
      <c r="C918" s="9"/>
      <c r="D918" s="9"/>
      <c r="E918" s="9"/>
      <c r="F918" s="9"/>
      <c r="G918" s="5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ht="12.75" customHeight="1">
      <c r="A919" s="9"/>
      <c r="B919" s="5"/>
      <c r="C919" s="9"/>
      <c r="D919" s="9"/>
      <c r="E919" s="9"/>
      <c r="F919" s="9"/>
      <c r="G919" s="5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ht="12.75" customHeight="1">
      <c r="A920" s="9"/>
      <c r="B920" s="5"/>
      <c r="C920" s="9"/>
      <c r="D920" s="9"/>
      <c r="E920" s="9"/>
      <c r="F920" s="9"/>
      <c r="G920" s="5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ht="12.75" customHeight="1">
      <c r="A921" s="9"/>
      <c r="B921" s="5"/>
      <c r="C921" s="9"/>
      <c r="D921" s="9"/>
      <c r="E921" s="9"/>
      <c r="F921" s="9"/>
      <c r="G921" s="5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ht="12.75" customHeight="1">
      <c r="A922" s="9"/>
      <c r="B922" s="5"/>
      <c r="C922" s="9"/>
      <c r="D922" s="9"/>
      <c r="E922" s="9"/>
      <c r="F922" s="9"/>
      <c r="G922" s="5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ht="12.75" customHeight="1">
      <c r="A923" s="9"/>
      <c r="B923" s="5"/>
      <c r="C923" s="9"/>
      <c r="D923" s="9"/>
      <c r="E923" s="9"/>
      <c r="F923" s="9"/>
      <c r="G923" s="5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ht="12.75" customHeight="1">
      <c r="A924" s="9"/>
      <c r="B924" s="5"/>
      <c r="C924" s="9"/>
      <c r="D924" s="9"/>
      <c r="E924" s="9"/>
      <c r="F924" s="9"/>
      <c r="G924" s="5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ht="12.75" customHeight="1">
      <c r="A925" s="9"/>
      <c r="B925" s="5"/>
      <c r="C925" s="9"/>
      <c r="D925" s="9"/>
      <c r="E925" s="9"/>
      <c r="F925" s="9"/>
      <c r="G925" s="5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ht="12.75" customHeight="1">
      <c r="A926" s="9"/>
      <c r="B926" s="5"/>
      <c r="C926" s="9"/>
      <c r="D926" s="9"/>
      <c r="E926" s="9"/>
      <c r="F926" s="9"/>
      <c r="G926" s="5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ht="12.75" customHeight="1">
      <c r="A927" s="9"/>
      <c r="B927" s="5"/>
      <c r="C927" s="9"/>
      <c r="D927" s="9"/>
      <c r="E927" s="9"/>
      <c r="F927" s="9"/>
      <c r="G927" s="5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ht="12.75" customHeight="1">
      <c r="A928" s="9"/>
      <c r="B928" s="5"/>
      <c r="C928" s="9"/>
      <c r="D928" s="9"/>
      <c r="E928" s="9"/>
      <c r="F928" s="9"/>
      <c r="G928" s="5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ht="12.75" customHeight="1">
      <c r="A929" s="9"/>
      <c r="B929" s="5"/>
      <c r="C929" s="9"/>
      <c r="D929" s="9"/>
      <c r="E929" s="9"/>
      <c r="F929" s="9"/>
      <c r="G929" s="5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ht="12.75" customHeight="1">
      <c r="A930" s="9"/>
      <c r="B930" s="5"/>
      <c r="C930" s="9"/>
      <c r="D930" s="9"/>
      <c r="E930" s="9"/>
      <c r="F930" s="9"/>
      <c r="G930" s="5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ht="12.75" customHeight="1">
      <c r="A931" s="9"/>
      <c r="B931" s="5"/>
      <c r="C931" s="9"/>
      <c r="D931" s="9"/>
      <c r="E931" s="9"/>
      <c r="F931" s="9"/>
      <c r="G931" s="5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ht="12.75" customHeight="1">
      <c r="A932" s="9"/>
      <c r="B932" s="5"/>
      <c r="C932" s="9"/>
      <c r="D932" s="9"/>
      <c r="E932" s="9"/>
      <c r="F932" s="9"/>
      <c r="G932" s="5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ht="12.75" customHeight="1">
      <c r="A933" s="9"/>
      <c r="B933" s="5"/>
      <c r="C933" s="9"/>
      <c r="D933" s="9"/>
      <c r="E933" s="9"/>
      <c r="F933" s="9"/>
      <c r="G933" s="5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ht="12.75" customHeight="1">
      <c r="A934" s="9"/>
      <c r="B934" s="5"/>
      <c r="C934" s="9"/>
      <c r="D934" s="9"/>
      <c r="E934" s="9"/>
      <c r="F934" s="9"/>
      <c r="G934" s="5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ht="12.75" customHeight="1">
      <c r="A935" s="9"/>
      <c r="B935" s="5"/>
      <c r="C935" s="9"/>
      <c r="D935" s="9"/>
      <c r="E935" s="9"/>
      <c r="F935" s="9"/>
      <c r="G935" s="5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ht="12.75" customHeight="1">
      <c r="A936" s="9"/>
      <c r="B936" s="5"/>
      <c r="C936" s="9"/>
      <c r="D936" s="9"/>
      <c r="E936" s="9"/>
      <c r="F936" s="9"/>
      <c r="G936" s="5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ht="12.75" customHeight="1">
      <c r="A937" s="9"/>
      <c r="B937" s="5"/>
      <c r="C937" s="9"/>
      <c r="D937" s="9"/>
      <c r="E937" s="9"/>
      <c r="F937" s="9"/>
      <c r="G937" s="5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ht="12.75" customHeight="1">
      <c r="A938" s="9"/>
      <c r="B938" s="5"/>
      <c r="C938" s="9"/>
      <c r="D938" s="9"/>
      <c r="E938" s="9"/>
      <c r="F938" s="9"/>
      <c r="G938" s="5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ht="12.75" customHeight="1">
      <c r="A939" s="9"/>
      <c r="B939" s="5"/>
      <c r="C939" s="9"/>
      <c r="D939" s="9"/>
      <c r="E939" s="9"/>
      <c r="F939" s="9"/>
      <c r="G939" s="5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ht="12.75" customHeight="1">
      <c r="A940" s="9"/>
      <c r="B940" s="5"/>
      <c r="C940" s="9"/>
      <c r="D940" s="9"/>
      <c r="E940" s="9"/>
      <c r="F940" s="9"/>
      <c r="G940" s="5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ht="12.75" customHeight="1">
      <c r="A941" s="9"/>
      <c r="B941" s="5"/>
      <c r="C941" s="9"/>
      <c r="D941" s="9"/>
      <c r="E941" s="9"/>
      <c r="F941" s="9"/>
      <c r="G941" s="5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ht="12.75" customHeight="1">
      <c r="A942" s="9"/>
      <c r="B942" s="5"/>
      <c r="C942" s="9"/>
      <c r="D942" s="9"/>
      <c r="E942" s="9"/>
      <c r="F942" s="9"/>
      <c r="G942" s="5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ht="12.75" customHeight="1">
      <c r="A943" s="9"/>
      <c r="B943" s="5"/>
      <c r="C943" s="9"/>
      <c r="D943" s="9"/>
      <c r="E943" s="9"/>
      <c r="F943" s="9"/>
      <c r="G943" s="5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ht="12.75" customHeight="1">
      <c r="A944" s="9"/>
      <c r="B944" s="5"/>
      <c r="C944" s="9"/>
      <c r="D944" s="9"/>
      <c r="E944" s="9"/>
      <c r="F944" s="9"/>
      <c r="G944" s="5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ht="12.75" customHeight="1">
      <c r="A945" s="9"/>
      <c r="B945" s="5"/>
      <c r="C945" s="9"/>
      <c r="D945" s="9"/>
      <c r="E945" s="9"/>
      <c r="F945" s="9"/>
      <c r="G945" s="5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ht="12.75" customHeight="1">
      <c r="A946" s="9"/>
      <c r="B946" s="5"/>
      <c r="C946" s="9"/>
      <c r="D946" s="9"/>
      <c r="E946" s="9"/>
      <c r="F946" s="9"/>
      <c r="G946" s="5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ht="12.75" customHeight="1">
      <c r="A947" s="9"/>
      <c r="B947" s="5"/>
      <c r="C947" s="9"/>
      <c r="D947" s="9"/>
      <c r="E947" s="9"/>
      <c r="F947" s="9"/>
      <c r="G947" s="5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ht="12.75" customHeight="1">
      <c r="A948" s="9"/>
      <c r="B948" s="5"/>
      <c r="C948" s="9"/>
      <c r="D948" s="9"/>
      <c r="E948" s="9"/>
      <c r="F948" s="9"/>
      <c r="G948" s="5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ht="12.75" customHeight="1">
      <c r="A949" s="9"/>
      <c r="B949" s="5"/>
      <c r="C949" s="9"/>
      <c r="D949" s="9"/>
      <c r="E949" s="9"/>
      <c r="F949" s="9"/>
      <c r="G949" s="5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ht="12.75" customHeight="1">
      <c r="A950" s="9"/>
      <c r="B950" s="5"/>
      <c r="C950" s="9"/>
      <c r="D950" s="9"/>
      <c r="E950" s="9"/>
      <c r="F950" s="9"/>
      <c r="G950" s="5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ht="12.75" customHeight="1">
      <c r="A951" s="9"/>
      <c r="B951" s="5"/>
      <c r="C951" s="9"/>
      <c r="D951" s="9"/>
      <c r="E951" s="9"/>
      <c r="F951" s="9"/>
      <c r="G951" s="5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ht="12.75" customHeight="1">
      <c r="A952" s="9"/>
      <c r="B952" s="5"/>
      <c r="C952" s="9"/>
      <c r="D952" s="9"/>
      <c r="E952" s="9"/>
      <c r="F952" s="9"/>
      <c r="G952" s="5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ht="12.75" customHeight="1">
      <c r="A953" s="9"/>
      <c r="B953" s="5"/>
      <c r="C953" s="9"/>
      <c r="D953" s="9"/>
      <c r="E953" s="9"/>
      <c r="F953" s="9"/>
      <c r="G953" s="5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ht="12.75" customHeight="1">
      <c r="A954" s="9"/>
      <c r="B954" s="5"/>
      <c r="C954" s="9"/>
      <c r="D954" s="9"/>
      <c r="E954" s="9"/>
      <c r="F954" s="9"/>
      <c r="G954" s="5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ht="12.75" customHeight="1">
      <c r="A955" s="9"/>
      <c r="B955" s="5"/>
      <c r="C955" s="9"/>
      <c r="D955" s="9"/>
      <c r="E955" s="9"/>
      <c r="F955" s="9"/>
      <c r="G955" s="5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ht="12.75" customHeight="1">
      <c r="A956" s="9"/>
      <c r="B956" s="5"/>
      <c r="C956" s="9"/>
      <c r="D956" s="9"/>
      <c r="E956" s="9"/>
      <c r="F956" s="9"/>
      <c r="G956" s="5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ht="12.75" customHeight="1">
      <c r="A957" s="9"/>
      <c r="B957" s="5"/>
      <c r="C957" s="9"/>
      <c r="D957" s="9"/>
      <c r="E957" s="9"/>
      <c r="F957" s="9"/>
      <c r="G957" s="5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ht="12.75" customHeight="1">
      <c r="A958" s="9"/>
      <c r="B958" s="5"/>
      <c r="C958" s="9"/>
      <c r="D958" s="9"/>
      <c r="E958" s="9"/>
      <c r="F958" s="9"/>
      <c r="G958" s="5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ht="12.75" customHeight="1">
      <c r="A959" s="9"/>
      <c r="B959" s="5"/>
      <c r="C959" s="9"/>
      <c r="D959" s="9"/>
      <c r="E959" s="9"/>
      <c r="F959" s="9"/>
      <c r="G959" s="5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ht="12.75" customHeight="1">
      <c r="A960" s="9"/>
      <c r="B960" s="5"/>
      <c r="C960" s="9"/>
      <c r="D960" s="9"/>
      <c r="E960" s="9"/>
      <c r="F960" s="9"/>
      <c r="G960" s="5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ht="12.75" customHeight="1">
      <c r="A961" s="9"/>
      <c r="B961" s="5"/>
      <c r="C961" s="9"/>
      <c r="D961" s="9"/>
      <c r="E961" s="9"/>
      <c r="F961" s="9"/>
      <c r="G961" s="5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ht="12.75" customHeight="1">
      <c r="A962" s="9"/>
      <c r="B962" s="5"/>
      <c r="C962" s="9"/>
      <c r="D962" s="9"/>
      <c r="E962" s="9"/>
      <c r="F962" s="9"/>
      <c r="G962" s="5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ht="12.75" customHeight="1">
      <c r="A963" s="9"/>
      <c r="B963" s="5"/>
      <c r="C963" s="9"/>
      <c r="D963" s="9"/>
      <c r="E963" s="9"/>
      <c r="F963" s="9"/>
      <c r="G963" s="5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ht="12.75" customHeight="1">
      <c r="A964" s="9"/>
      <c r="B964" s="5"/>
      <c r="C964" s="9"/>
      <c r="D964" s="9"/>
      <c r="E964" s="9"/>
      <c r="F964" s="9"/>
      <c r="G964" s="5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ht="12.75" customHeight="1">
      <c r="A965" s="9"/>
      <c r="B965" s="5"/>
      <c r="C965" s="9"/>
      <c r="D965" s="9"/>
      <c r="E965" s="9"/>
      <c r="F965" s="9"/>
      <c r="G965" s="5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ht="12.75" customHeight="1">
      <c r="A966" s="9"/>
      <c r="B966" s="5"/>
      <c r="C966" s="9"/>
      <c r="D966" s="9"/>
      <c r="E966" s="9"/>
      <c r="F966" s="9"/>
      <c r="G966" s="5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ht="12.75" customHeight="1">
      <c r="A967" s="9"/>
      <c r="B967" s="5"/>
      <c r="C967" s="9"/>
      <c r="D967" s="9"/>
      <c r="E967" s="9"/>
      <c r="F967" s="9"/>
      <c r="G967" s="5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ht="12.75" customHeight="1">
      <c r="A968" s="9"/>
      <c r="B968" s="5"/>
      <c r="C968" s="9"/>
      <c r="D968" s="9"/>
      <c r="E968" s="9"/>
      <c r="F968" s="9"/>
      <c r="G968" s="5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ht="12.75" customHeight="1">
      <c r="A969" s="9"/>
      <c r="B969" s="5"/>
      <c r="C969" s="9"/>
      <c r="D969" s="9"/>
      <c r="E969" s="9"/>
      <c r="F969" s="9"/>
      <c r="G969" s="5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ht="12.75" customHeight="1">
      <c r="A970" s="9"/>
      <c r="B970" s="5"/>
      <c r="C970" s="9"/>
      <c r="D970" s="9"/>
      <c r="E970" s="9"/>
      <c r="F970" s="9"/>
      <c r="G970" s="5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ht="12.75" customHeight="1">
      <c r="A971" s="9"/>
      <c r="B971" s="5"/>
      <c r="C971" s="9"/>
      <c r="D971" s="9"/>
      <c r="E971" s="9"/>
      <c r="F971" s="9"/>
      <c r="G971" s="5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ht="12.75" customHeight="1">
      <c r="A972" s="9"/>
      <c r="B972" s="5"/>
      <c r="C972" s="9"/>
      <c r="D972" s="9"/>
      <c r="E972" s="9"/>
      <c r="F972" s="9"/>
      <c r="G972" s="5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ht="12.75" customHeight="1">
      <c r="A973" s="9"/>
      <c r="B973" s="5"/>
      <c r="C973" s="9"/>
      <c r="D973" s="9"/>
      <c r="E973" s="9"/>
      <c r="F973" s="9"/>
      <c r="G973" s="5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ht="12.75" customHeight="1">
      <c r="A974" s="9"/>
      <c r="B974" s="5"/>
      <c r="C974" s="9"/>
      <c r="D974" s="9"/>
      <c r="E974" s="9"/>
      <c r="F974" s="9"/>
      <c r="G974" s="5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ht="12.75" customHeight="1">
      <c r="A975" s="9"/>
      <c r="B975" s="5"/>
      <c r="C975" s="9"/>
      <c r="D975" s="9"/>
      <c r="E975" s="9"/>
      <c r="F975" s="9"/>
      <c r="G975" s="5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ht="12.75" customHeight="1">
      <c r="A976" s="9"/>
      <c r="B976" s="5"/>
      <c r="C976" s="9"/>
      <c r="D976" s="9"/>
      <c r="E976" s="9"/>
      <c r="F976" s="9"/>
      <c r="G976" s="5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ht="12.75" customHeight="1">
      <c r="A977" s="9"/>
      <c r="B977" s="5"/>
      <c r="C977" s="9"/>
      <c r="D977" s="9"/>
      <c r="E977" s="9"/>
      <c r="F977" s="9"/>
      <c r="G977" s="5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ht="12.75" customHeight="1">
      <c r="A978" s="9"/>
      <c r="B978" s="5"/>
      <c r="C978" s="9"/>
      <c r="D978" s="9"/>
      <c r="E978" s="9"/>
      <c r="F978" s="9"/>
      <c r="G978" s="5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ht="12.75" customHeight="1">
      <c r="A979" s="9"/>
      <c r="B979" s="5"/>
      <c r="C979" s="9"/>
      <c r="D979" s="9"/>
      <c r="E979" s="9"/>
      <c r="F979" s="9"/>
      <c r="G979" s="5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ht="12.75" customHeight="1">
      <c r="A980" s="9"/>
      <c r="B980" s="5"/>
      <c r="C980" s="9"/>
      <c r="D980" s="9"/>
      <c r="E980" s="9"/>
      <c r="F980" s="9"/>
      <c r="G980" s="5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ht="12.75" customHeight="1">
      <c r="A981" s="9"/>
      <c r="B981" s="5"/>
      <c r="C981" s="9"/>
      <c r="D981" s="9"/>
      <c r="E981" s="9"/>
      <c r="F981" s="9"/>
      <c r="G981" s="5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ht="12.75" customHeight="1">
      <c r="A982" s="9"/>
      <c r="B982" s="5"/>
      <c r="C982" s="9"/>
      <c r="D982" s="9"/>
      <c r="E982" s="9"/>
      <c r="F982" s="9"/>
      <c r="G982" s="5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ht="12.75" customHeight="1">
      <c r="A983" s="9"/>
      <c r="B983" s="5"/>
      <c r="C983" s="9"/>
      <c r="D983" s="9"/>
      <c r="E983" s="9"/>
      <c r="F983" s="9"/>
      <c r="G983" s="5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ht="12.75" customHeight="1">
      <c r="A984" s="9"/>
      <c r="B984" s="5"/>
      <c r="C984" s="9"/>
      <c r="D984" s="9"/>
      <c r="E984" s="9"/>
      <c r="F984" s="9"/>
      <c r="G984" s="5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ht="12.75" customHeight="1">
      <c r="A985" s="9"/>
      <c r="B985" s="5"/>
      <c r="C985" s="9"/>
      <c r="D985" s="9"/>
      <c r="E985" s="9"/>
      <c r="F985" s="9"/>
      <c r="G985" s="5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ht="12.75" customHeight="1">
      <c r="A986" s="9"/>
      <c r="B986" s="5"/>
      <c r="C986" s="9"/>
      <c r="D986" s="9"/>
      <c r="E986" s="9"/>
      <c r="F986" s="9"/>
      <c r="G986" s="5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ht="12.75" customHeight="1">
      <c r="A987" s="9"/>
      <c r="B987" s="5"/>
      <c r="C987" s="9"/>
      <c r="D987" s="9"/>
      <c r="E987" s="9"/>
      <c r="F987" s="9"/>
      <c r="G987" s="5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ht="12.75" customHeight="1">
      <c r="A988" s="9"/>
      <c r="B988" s="5"/>
      <c r="C988" s="9"/>
      <c r="D988" s="9"/>
      <c r="E988" s="9"/>
      <c r="F988" s="9"/>
      <c r="G988" s="5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ht="12.75" customHeight="1">
      <c r="A989" s="9"/>
      <c r="B989" s="5"/>
      <c r="C989" s="9"/>
      <c r="D989" s="9"/>
      <c r="E989" s="9"/>
      <c r="F989" s="9"/>
      <c r="G989" s="5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ht="12.75" customHeight="1">
      <c r="A990" s="9"/>
      <c r="B990" s="5"/>
      <c r="C990" s="9"/>
      <c r="D990" s="9"/>
      <c r="E990" s="9"/>
      <c r="F990" s="9"/>
      <c r="G990" s="5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ht="12.75" customHeight="1">
      <c r="A991" s="9"/>
      <c r="B991" s="5"/>
      <c r="C991" s="9"/>
      <c r="D991" s="9"/>
      <c r="E991" s="9"/>
      <c r="F991" s="9"/>
      <c r="G991" s="5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ht="12.75" customHeight="1">
      <c r="A992" s="9"/>
      <c r="B992" s="5"/>
      <c r="C992" s="9"/>
      <c r="D992" s="9"/>
      <c r="E992" s="9"/>
      <c r="F992" s="9"/>
      <c r="G992" s="5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ht="12.75" customHeight="1">
      <c r="A993" s="9"/>
      <c r="B993" s="5"/>
      <c r="C993" s="9"/>
      <c r="D993" s="9"/>
      <c r="E993" s="9"/>
      <c r="F993" s="9"/>
      <c r="G993" s="5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ht="12.75" customHeight="1">
      <c r="A994" s="9"/>
      <c r="B994" s="5"/>
      <c r="C994" s="9"/>
      <c r="D994" s="9"/>
      <c r="E994" s="9"/>
      <c r="F994" s="9"/>
      <c r="G994" s="5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ht="12.75" customHeight="1">
      <c r="A995" s="9"/>
      <c r="B995" s="5"/>
      <c r="C995" s="9"/>
      <c r="D995" s="9"/>
      <c r="E995" s="9"/>
      <c r="F995" s="9"/>
      <c r="G995" s="5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ht="12.75" customHeight="1">
      <c r="A996" s="9"/>
      <c r="B996" s="5"/>
      <c r="C996" s="9"/>
      <c r="D996" s="9"/>
      <c r="E996" s="9"/>
      <c r="F996" s="9"/>
      <c r="G996" s="5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ht="12.75" customHeight="1">
      <c r="A997" s="9"/>
      <c r="B997" s="5"/>
      <c r="C997" s="9"/>
      <c r="D997" s="9"/>
      <c r="E997" s="9"/>
      <c r="F997" s="9"/>
      <c r="G997" s="5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ht="12.75" customHeight="1">
      <c r="A998" s="9"/>
      <c r="B998" s="5"/>
      <c r="C998" s="9"/>
      <c r="D998" s="9"/>
      <c r="E998" s="9"/>
      <c r="F998" s="9"/>
      <c r="G998" s="5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ht="12.75" customHeight="1">
      <c r="A999" s="9"/>
      <c r="B999" s="5"/>
      <c r="C999" s="9"/>
      <c r="D999" s="9"/>
      <c r="E999" s="9"/>
      <c r="F999" s="9"/>
      <c r="G999" s="5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</sheetData>
  <conditionalFormatting sqref="B9:B16">
    <cfRule type="expression" dxfId="4" priority="1">
      <formula>$C10="Removed"</formula>
    </cfRule>
  </conditionalFormatting>
  <conditionalFormatting sqref="B9:B16">
    <cfRule type="expression" dxfId="5" priority="2">
      <formula>$C10="Ongoing"</formula>
    </cfRule>
  </conditionalFormatting>
  <conditionalFormatting sqref="B9:B16">
    <cfRule type="expression" dxfId="6" priority="3">
      <formula>$C10="Done"</formula>
    </cfRule>
  </conditionalFormatting>
  <conditionalFormatting sqref="A3:A51 B3:B8 C3:C51 D3 E3:F43 G3:G20 D5 D7:D11 B11:B43 D13:D43 G22:G40 G43:G51 B46:B51 D46:F51 A53:G999">
    <cfRule type="expression" dxfId="6" priority="4">
      <formula>$C3="Done"</formula>
    </cfRule>
  </conditionalFormatting>
  <conditionalFormatting sqref="A3:A51 B3:B8 C3:C51 D3 E3:F43 G3:G20 D5 D7:D11 B11:B43 D13:D43 G22:G40 G43:G51 B46:B51 D46:F51 A53:G999">
    <cfRule type="expression" dxfId="5" priority="5">
      <formula>$C3="Ongoing"</formula>
    </cfRule>
  </conditionalFormatting>
  <conditionalFormatting sqref="A3:A51 B3:B8 C3:C51 D3 E3:F43 G3:G20 D5 D7:D11 B11:B43 D13:D43 G22:G40 G43:G51 B46:B51 D46:F51 A53:G999">
    <cfRule type="expression" dxfId="4" priority="6">
      <formula>$C3="Removed"</formula>
    </cfRule>
  </conditionalFormatting>
  <conditionalFormatting sqref="G52">
    <cfRule type="expression" dxfId="6" priority="7">
      <formula>$C42="Done"</formula>
    </cfRule>
  </conditionalFormatting>
  <conditionalFormatting sqref="G52">
    <cfRule type="expression" dxfId="5" priority="8">
      <formula>$C42="Ongoing"</formula>
    </cfRule>
  </conditionalFormatting>
  <conditionalFormatting sqref="G52">
    <cfRule type="expression" dxfId="4" priority="9">
      <formula>$C42="Removed"</formula>
    </cfRule>
  </conditionalFormatting>
  <conditionalFormatting sqref="G41:G42">
    <cfRule type="expression" dxfId="6" priority="10">
      <formula>#REF!="Done"</formula>
    </cfRule>
  </conditionalFormatting>
  <conditionalFormatting sqref="G41:G42">
    <cfRule type="expression" dxfId="5" priority="11">
      <formula>#REF!="Ongoing"</formula>
    </cfRule>
  </conditionalFormatting>
  <conditionalFormatting sqref="G41:G42">
    <cfRule type="expression" dxfId="4" priority="12">
      <formula>#REF!="Removed"</formula>
    </cfRule>
  </conditionalFormatting>
  <conditionalFormatting sqref="G21">
    <cfRule type="expression" dxfId="6" priority="13">
      <formula>#REF!="Done"</formula>
    </cfRule>
  </conditionalFormatting>
  <conditionalFormatting sqref="G21">
    <cfRule type="expression" dxfId="5" priority="14">
      <formula>#REF!="Ongoing"</formula>
    </cfRule>
  </conditionalFormatting>
  <conditionalFormatting sqref="G21">
    <cfRule type="expression" dxfId="4" priority="15">
      <formula>#REF!="Removed"</formula>
    </cfRule>
  </conditionalFormatting>
  <dataValidations>
    <dataValidation type="list" allowBlank="1" showInputMessage="1" prompt=" - " sqref="C3:C51 C53:C162">
      <formula1>"Planned,Ongoing,Done,Removed"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4.0" topLeftCell="A15" activePane="bottomLeft" state="frozen"/>
      <selection activeCell="B16" sqref="B16" pane="bottomLeft"/>
    </sheetView>
  </sheetViews>
  <sheetFormatPr customHeight="1" defaultColWidth="14.43" defaultRowHeight="15.0"/>
  <cols>
    <col customWidth="1" min="1" max="1" width="43.43"/>
    <col customWidth="1" min="2" max="2" width="8.57"/>
    <col customWidth="1" min="3" max="3" width="15.86"/>
    <col customWidth="1" min="4" max="4" width="10.86"/>
    <col customWidth="1" min="5" max="5" width="6.57"/>
    <col customWidth="1" min="6" max="30" width="4.43"/>
    <col customWidth="1" min="31" max="31" width="8.0"/>
  </cols>
  <sheetData>
    <row r="1" ht="17.25" customHeight="1">
      <c r="A1" s="22">
        <v>1.0</v>
      </c>
      <c r="B1" s="28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</row>
    <row r="2" ht="12.75" customHeight="1">
      <c r="A2" s="11"/>
      <c r="B2" s="9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ht="12.75" customHeight="1">
      <c r="A3" s="11"/>
      <c r="B3" s="9"/>
      <c r="C3" s="11"/>
      <c r="D3" s="11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11"/>
    </row>
    <row r="4" ht="12.75" customHeight="1">
      <c r="A4" s="11"/>
      <c r="B4" s="9"/>
      <c r="C4" s="11"/>
      <c r="D4" s="11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11"/>
    </row>
    <row r="5" ht="12.75" customHeight="1">
      <c r="A5" s="11"/>
      <c r="B5" s="9"/>
      <c r="C5" s="11"/>
      <c r="D5" s="11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11"/>
    </row>
    <row r="6" ht="12.75" customHeight="1">
      <c r="A6" s="11"/>
      <c r="B6" s="9"/>
      <c r="C6" s="11"/>
      <c r="D6" s="11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11"/>
    </row>
    <row r="7" ht="12.75" customHeight="1">
      <c r="A7" s="11"/>
      <c r="B7" s="9"/>
      <c r="C7" s="11"/>
      <c r="D7" s="11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11"/>
    </row>
    <row r="8" ht="12.75" customHeight="1">
      <c r="A8" s="11"/>
      <c r="B8" s="9"/>
      <c r="C8" s="11"/>
      <c r="D8" s="11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11"/>
    </row>
    <row r="9" ht="12.75" customHeight="1">
      <c r="A9" s="35" t="s">
        <v>29</v>
      </c>
      <c r="B9" s="36">
        <v>14.0</v>
      </c>
      <c r="C9" s="35"/>
      <c r="D9" s="38"/>
      <c r="E9" s="35" t="s">
        <v>31</v>
      </c>
      <c r="F9" s="35" t="s">
        <v>32</v>
      </c>
      <c r="G9" s="35"/>
      <c r="H9" s="35"/>
      <c r="I9" s="35"/>
      <c r="J9" s="35"/>
      <c r="K9" s="35"/>
      <c r="L9" s="35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11"/>
    </row>
    <row r="10" ht="12.75" customHeight="1">
      <c r="A10" s="35" t="s">
        <v>36</v>
      </c>
      <c r="B10" s="36">
        <v>14.0</v>
      </c>
      <c r="C10" s="40" t="s">
        <v>37</v>
      </c>
      <c r="D10" s="35" t="s">
        <v>41</v>
      </c>
      <c r="E10" s="41">
        <v>12.0</v>
      </c>
      <c r="F10" s="43">
        <v>12.0</v>
      </c>
      <c r="G10" s="46">
        <f>IF(AND(SUM(OFFSET(G14,1,0,'Sp1'!TaskRows,1))=0),"",SUM(OFFSET(G14,1,0,'Sp1'!TaskRows,1)))</f>
        <v>11</v>
      </c>
      <c r="H10" s="46">
        <f>IF(AND(SUM(OFFSET(H14,1,0,'Sp1'!TaskRows,1))=0),"",SUM(OFFSET(H14,1,0,'Sp1'!TaskRows,1)))</f>
        <v>11</v>
      </c>
      <c r="I10" s="46">
        <f>IF(AND(SUM(OFFSET(I14,1,0,'Sp1'!TaskRows,1))=0),"",SUM(OFFSET(I14,1,0,'Sp1'!TaskRows,1)))</f>
        <v>10</v>
      </c>
      <c r="J10" s="46">
        <f>IF(AND(SUM(OFFSET(J14,1,0,'Sp1'!TaskRows,1))=0),"",SUM(OFFSET(J14,1,0,'Sp1'!TaskRows,1)))</f>
        <v>10</v>
      </c>
      <c r="K10" s="46">
        <f>IF(AND(SUM(OFFSET(K14,1,0,'Sp1'!TaskRows,1))=0),"",SUM(OFFSET(K14,1,0,'Sp1'!TaskRows,1)))</f>
        <v>7</v>
      </c>
      <c r="L10" s="46">
        <f>IF(AND(SUM(OFFSET(L14,1,0,'Sp1'!TaskRows,1))=0),"",SUM(OFFSET(L14,1,0,'Sp1'!TaskRows,1)))</f>
        <v>5</v>
      </c>
      <c r="M10" s="46">
        <f>IF(AND(SUM(OFFSET(M14,1,0,'Sp1'!TaskRows,1))=0),"",SUM(OFFSET(M14,1,0,'Sp1'!TaskRows,1)))</f>
        <v>4</v>
      </c>
      <c r="N10" s="46">
        <f>IF(AND(SUM(OFFSET(N14,1,0,'Sp1'!TaskRows,1))=0),"",SUM(OFFSET(N14,1,0,'Sp1'!TaskRows,1)))</f>
        <v>3</v>
      </c>
      <c r="O10" s="46">
        <f>IF(AND(SUM(OFFSET(O14,1,0,'Sp1'!TaskRows,1))=0),"",SUM(OFFSET(O14,1,0,'Sp1'!TaskRows,1)))</f>
        <v>1</v>
      </c>
      <c r="P10" s="46" t="str">
        <f>IF(AND(SUM(OFFSET(P14,1,0,'Sp1'!TaskRows,1))=0),"",SUM(OFFSET(P14,1,0,'Sp1'!TaskRows,1)))</f>
        <v/>
      </c>
      <c r="Q10" s="46" t="str">
        <f>IF(AND(SUM(OFFSET(Q14,1,0,'Sp1'!TaskRows,1))=0),"",SUM(OFFSET(Q14,1,0,'Sp1'!TaskRows,1)))</f>
        <v/>
      </c>
      <c r="R10" s="46" t="str">
        <f>IF(AND(SUM(OFFSET(R14,1,0,'Sp1'!TaskRows,1))=0),"",SUM(OFFSET(R14,1,0,'Sp1'!TaskRows,1)))</f>
        <v/>
      </c>
      <c r="S10" s="46" t="str">
        <f>IF(AND(SUM(OFFSET(S14,1,0,'Sp1'!TaskRows,1))=0),"",SUM(OFFSET(S14,1,0,'Sp1'!TaskRows,1)))</f>
        <v/>
      </c>
      <c r="T10" s="46" t="str">
        <f>IF(AND(SUM(OFFSET(T14,1,0,'Sp1'!TaskRows,1))=0),"",SUM(OFFSET(T14,1,0,'Sp1'!TaskRows,1)))</f>
        <v/>
      </c>
      <c r="U10" s="46" t="str">
        <f>IF(AND(SUM(OFFSET(U14,1,0,'Sp1'!TaskRows,1))=0),"",SUM(OFFSET(U14,1,0,'Sp1'!TaskRows,1)))</f>
        <v/>
      </c>
      <c r="V10" s="46" t="str">
        <f>IF(AND(SUM(OFFSET(V14,1,0,'Sp1'!TaskRows,1))=0),"",SUM(OFFSET(V14,1,0,'Sp1'!TaskRows,1)))</f>
        <v/>
      </c>
      <c r="W10" s="46" t="str">
        <f>IF(AND(SUM(OFFSET(W14,1,0,'Sp1'!TaskRows,1))=0),"",SUM(OFFSET(W14,1,0,'Sp1'!TaskRows,1)))</f>
        <v/>
      </c>
      <c r="X10" s="46" t="str">
        <f>IF(AND(SUM(OFFSET(X14,1,0,'Sp1'!TaskRows,1))=0),"",SUM(OFFSET(X14,1,0,'Sp1'!TaskRows,1)))</f>
        <v/>
      </c>
      <c r="Y10" s="46" t="str">
        <f>IF(AND(SUM(OFFSET(Y14,1,0,'Sp1'!TaskRows,1))=0),"",SUM(OFFSET(Y14,1,0,'Sp1'!TaskRows,1)))</f>
        <v/>
      </c>
      <c r="Z10" s="46" t="str">
        <f>IF(AND(SUM(OFFSET(Z14,1,0,'Sp1'!TaskRows,1))=0),"",SUM(OFFSET(Z14,1,0,'Sp1'!TaskRows,1)))</f>
        <v/>
      </c>
      <c r="AA10" s="46" t="str">
        <f>IF(AND(SUM(OFFSET(AA14,1,0,'Sp1'!TaskRows,1))=0),"",SUM(OFFSET(AA14,1,0,'Sp1'!TaskRows,1)))</f>
        <v/>
      </c>
      <c r="AB10" s="46" t="str">
        <f>IF(AND(SUM(OFFSET(AB14,1,0,'Sp1'!TaskRows,1))=0),"",SUM(OFFSET(AB14,1,0,'Sp1'!TaskRows,1)))</f>
        <v/>
      </c>
      <c r="AC10" s="46" t="str">
        <f>IF(AND(SUM(OFFSET(AC14,1,0,'Sp1'!TaskRows,1))=0),"",SUM(OFFSET(AC14,1,0,'Sp1'!TaskRows,1)))</f>
        <v/>
      </c>
      <c r="AD10" s="46" t="str">
        <f>IF(AND(SUM(OFFSET(AD14,1,0,'Sp1'!TaskRows,1))=0),"",SUM(OFFSET(AD14,1,0,'Sp1'!TaskRows,1)))</f>
        <v/>
      </c>
      <c r="AE10" s="11"/>
    </row>
    <row r="11" ht="12.75" hidden="1" customHeight="1">
      <c r="A11" s="62" t="s">
        <v>55</v>
      </c>
      <c r="B11" s="3">
        <f>IF(COUNTA(A15:A242)=0,1,COUNTA(A15:A242))</f>
        <v>4</v>
      </c>
      <c r="C11" s="62" t="s">
        <v>56</v>
      </c>
      <c r="D11" s="3">
        <f>IF(COUNTIF(F10:AD10,"&gt;0")=0,1,COUNTIF(F10:AD10,"&gt;0"))</f>
        <v>10</v>
      </c>
      <c r="E11" s="3"/>
      <c r="F11" s="3">
        <f>IF(F14="","",$E10-$E10/($B9-1)*(F14-1))</f>
        <v>12</v>
      </c>
      <c r="G11" s="3">
        <f>IF(G14="","",'Sp1'!TotalEffort-'Sp1'!TotalEffort/('Sp1'!ImplementationDays)*(G14-1))</f>
        <v>11.14285714</v>
      </c>
      <c r="H11" s="3">
        <f>IF(H14="","",'Sp1'!TotalEffort-'Sp1'!TotalEffort/('Sp1'!ImplementationDays)*(H14-1))</f>
        <v>10.28571429</v>
      </c>
      <c r="I11" s="3">
        <f>IF(I14="","",'Sp1'!TotalEffort-'Sp1'!TotalEffort/('Sp1'!ImplementationDays)*(I14-1))</f>
        <v>9.428571429</v>
      </c>
      <c r="J11" s="3">
        <f>IF(J14="","",'Sp1'!TotalEffort-'Sp1'!TotalEffort/('Sp1'!ImplementationDays)*(J14-1))</f>
        <v>8.571428571</v>
      </c>
      <c r="K11" s="3">
        <f>IF(K14="","",'Sp1'!TotalEffort-'Sp1'!TotalEffort/('Sp1'!ImplementationDays)*(K14-1))</f>
        <v>7.714285714</v>
      </c>
      <c r="L11" s="3">
        <f>IF(L14="","",'Sp1'!TotalEffort-'Sp1'!TotalEffort/('Sp1'!ImplementationDays)*(L14-1))</f>
        <v>6.857142857</v>
      </c>
      <c r="M11" s="3">
        <f>IF(M14="","",'Sp1'!TotalEffort-'Sp1'!TotalEffort/('Sp1'!ImplementationDays)*(M14-1))</f>
        <v>6</v>
      </c>
      <c r="N11" s="3">
        <f>IF(N14="","",'Sp1'!TotalEffort-'Sp1'!TotalEffort/('Sp1'!ImplementationDays)*(N14-1))</f>
        <v>5.142857143</v>
      </c>
      <c r="O11" s="3">
        <f>IF(O14="","",'Sp1'!TotalEffort-'Sp1'!TotalEffort/('Sp1'!ImplementationDays)*(O14-1))</f>
        <v>4.285714286</v>
      </c>
      <c r="P11" s="3">
        <f>IF(P14="","",'Sp1'!TotalEffort-'Sp1'!TotalEffort/('Sp1'!ImplementationDays)*(P14-1))</f>
        <v>3.428571429</v>
      </c>
      <c r="Q11" s="3">
        <f>IF(Q14="","",'Sp1'!TotalEffort-'Sp1'!TotalEffort/('Sp1'!ImplementationDays)*(Q14-1))</f>
        <v>2.571428571</v>
      </c>
      <c r="R11" s="3">
        <f>IF(R14="","",'Sp1'!TotalEffort-'Sp1'!TotalEffort/('Sp1'!ImplementationDays)*(R14-1))</f>
        <v>1.714285714</v>
      </c>
      <c r="S11" s="3">
        <f>IF(S14="","",'Sp1'!TotalEffort-'Sp1'!TotalEffort/('Sp1'!ImplementationDays)*(S14-1))</f>
        <v>0.8571428571</v>
      </c>
      <c r="T11" s="3" t="str">
        <f>IF(T14="","",'Sp1'!TotalEffort-'Sp1'!TotalEffort/('Sp1'!ImplementationDays)*(T14-1))</f>
        <v/>
      </c>
      <c r="U11" s="3" t="str">
        <f>IF(U14="","",'Sp1'!TotalEffort-'Sp1'!TotalEffort/('Sp1'!ImplementationDays)*(U14-1))</f>
        <v/>
      </c>
      <c r="V11" s="3" t="str">
        <f>IF(V14="","",'Sp1'!TotalEffort-'Sp1'!TotalEffort/('Sp1'!ImplementationDays)*(V14-1))</f>
        <v/>
      </c>
      <c r="W11" s="3" t="str">
        <f>IF(W14="","",'Sp1'!TotalEffort-'Sp1'!TotalEffort/('Sp1'!ImplementationDays)*(W14-1))</f>
        <v/>
      </c>
      <c r="X11" s="3" t="str">
        <f>IF(X14="","",'Sp1'!TotalEffort-'Sp1'!TotalEffort/('Sp1'!ImplementationDays)*(X14-1))</f>
        <v/>
      </c>
      <c r="Y11" s="3" t="str">
        <f>IF(Y14="","",'Sp1'!TotalEffort-'Sp1'!TotalEffort/('Sp1'!ImplementationDays)*(Y14-1))</f>
        <v/>
      </c>
      <c r="Z11" s="3" t="str">
        <f>IF(Z14="","",'Sp1'!TotalEffort-'Sp1'!TotalEffort/('Sp1'!ImplementationDays)*(Z14-1))</f>
        <v/>
      </c>
      <c r="AA11" s="3" t="str">
        <f>IF(AA14="","",'Sp1'!TotalEffort-'Sp1'!TotalEffort/('Sp1'!ImplementationDays)*(AA14-1))</f>
        <v/>
      </c>
      <c r="AB11" s="3" t="str">
        <f>IF(AB14="","",'Sp1'!TotalEffort-'Sp1'!TotalEffort/('Sp1'!ImplementationDays)*(AB14-1))</f>
        <v/>
      </c>
      <c r="AC11" s="3" t="str">
        <f>IF(AC14="","",'Sp1'!TotalEffort-'Sp1'!TotalEffort/('Sp1'!ImplementationDays)*(AC14-1))</f>
        <v/>
      </c>
      <c r="AD11" s="3" t="str">
        <f>IF(AD14="","",'Sp1'!TotalEffort-'Sp1'!TotalEffort/('Sp1'!ImplementationDays)*(AD14-1))</f>
        <v/>
      </c>
      <c r="AE11" s="11"/>
    </row>
    <row r="12" ht="12.75" hidden="1" customHeight="1">
      <c r="A12" s="68" t="s">
        <v>57</v>
      </c>
      <c r="B12" s="9"/>
      <c r="C12" s="62" t="s">
        <v>59</v>
      </c>
      <c r="D12" s="3"/>
      <c r="E12" s="3"/>
      <c r="F12" s="3">
        <f t="array" ref="F12">IF(TREND(OFFSET($F10,0,'Sp1'!DoneDays-'Sp1'!TrendDays,1,'Sp1'!TrendDays),OFFSET($F13,0,'Sp1'!DoneDays-'Sp1'!TrendDays,1,'Sp1'!TrendDays),F13)&lt;0,"",TREND(OFFSET($F10,0,'Sp1'!DoneDays-'Sp1'!TrendDays,1,'Sp1'!TrendDays),OFFSET($F13,0,'Sp1'!DoneDays-'Sp1'!TrendDays,1,'Sp1'!TrendDays),F13))</f>
        <v>13.07272727</v>
      </c>
      <c r="G12" s="3">
        <f t="array" ref="G12">IF(TREND(OFFSET($F10,0,'Sp1'!DoneDays-'Sp1'!TrendDays,1,'Sp1'!TrendDays),OFFSET($F13,0,'Sp1'!DoneDays-'Sp1'!TrendDays,1,'Sp1'!TrendDays),G13)&lt;0,"",TREND(OFFSET($F10,0,'Sp1'!DoneDays-'Sp1'!TrendDays,1,'Sp1'!TrendDays),OFFSET($F13,0,'Sp1'!DoneDays-'Sp1'!TrendDays,1,'Sp1'!TrendDays),G13))</f>
        <v>11.81212121</v>
      </c>
      <c r="H12" s="3">
        <f t="array" ref="H12">IF(TREND(OFFSET($F10,0,'Sp1'!DoneDays-'Sp1'!TrendDays,1,'Sp1'!TrendDays),OFFSET($F13,0,'Sp1'!DoneDays-'Sp1'!TrendDays,1,'Sp1'!TrendDays),H13)&lt;0,"",TREND(OFFSET($F10,0,'Sp1'!DoneDays-'Sp1'!TrendDays,1,'Sp1'!TrendDays),OFFSET($F13,0,'Sp1'!DoneDays-'Sp1'!TrendDays,1,'Sp1'!TrendDays),H13))</f>
        <v>10.55151515</v>
      </c>
      <c r="I12" s="3">
        <f t="array" ref="I12">IF(TREND(OFFSET($F10,0,'Sp1'!DoneDays-'Sp1'!TrendDays,1,'Sp1'!TrendDays),OFFSET($F13,0,'Sp1'!DoneDays-'Sp1'!TrendDays,1,'Sp1'!TrendDays),I13)&lt;0,"",TREND(OFFSET($F10,0,'Sp1'!DoneDays-'Sp1'!TrendDays,1,'Sp1'!TrendDays),OFFSET($F13,0,'Sp1'!DoneDays-'Sp1'!TrendDays,1,'Sp1'!TrendDays),I13))</f>
        <v>9.290909091</v>
      </c>
      <c r="J12" s="3">
        <f t="array" ref="J12">IF(TREND(OFFSET($F10,0,'Sp1'!DoneDays-'Sp1'!TrendDays,1,'Sp1'!TrendDays),OFFSET($F13,0,'Sp1'!DoneDays-'Sp1'!TrendDays,1,'Sp1'!TrendDays),J13)&lt;0,"",TREND(OFFSET($F10,0,'Sp1'!DoneDays-'Sp1'!TrendDays,1,'Sp1'!TrendDays),OFFSET($F13,0,'Sp1'!DoneDays-'Sp1'!TrendDays,1,'Sp1'!TrendDays),J13))</f>
        <v>8.03030303</v>
      </c>
      <c r="K12" s="3">
        <f t="array" ref="K12">IF(TREND(OFFSET($F10,0,'Sp1'!DoneDays-'Sp1'!TrendDays,1,'Sp1'!TrendDays),OFFSET($F13,0,'Sp1'!DoneDays-'Sp1'!TrendDays,1,'Sp1'!TrendDays),K13)&lt;0,"",TREND(OFFSET($F10,0,'Sp1'!DoneDays-'Sp1'!TrendDays,1,'Sp1'!TrendDays),OFFSET($F13,0,'Sp1'!DoneDays-'Sp1'!TrendDays,1,'Sp1'!TrendDays),K13))</f>
        <v>6.76969697</v>
      </c>
      <c r="L12" s="3">
        <f t="array" ref="L12">IF(TREND(OFFSET($F10,0,'Sp1'!DoneDays-'Sp1'!TrendDays,1,'Sp1'!TrendDays),OFFSET($F13,0,'Sp1'!DoneDays-'Sp1'!TrendDays,1,'Sp1'!TrendDays),L13)&lt;0,"",TREND(OFFSET($F10,0,'Sp1'!DoneDays-'Sp1'!TrendDays,1,'Sp1'!TrendDays),OFFSET($F13,0,'Sp1'!DoneDays-'Sp1'!TrendDays,1,'Sp1'!TrendDays),L13))</f>
        <v>5.509090909</v>
      </c>
      <c r="M12" s="3">
        <f t="array" ref="M12">IF(TREND(OFFSET($F10,0,'Sp1'!DoneDays-'Sp1'!TrendDays,1,'Sp1'!TrendDays),OFFSET($F13,0,'Sp1'!DoneDays-'Sp1'!TrendDays,1,'Sp1'!TrendDays),M13)&lt;0,"",TREND(OFFSET($F10,0,'Sp1'!DoneDays-'Sp1'!TrendDays,1,'Sp1'!TrendDays),OFFSET($F13,0,'Sp1'!DoneDays-'Sp1'!TrendDays,1,'Sp1'!TrendDays),M13))</f>
        <v>4.248484848</v>
      </c>
      <c r="N12" s="3">
        <f t="array" ref="N12">IF(TREND(OFFSET($F10,0,'Sp1'!DoneDays-'Sp1'!TrendDays,1,'Sp1'!TrendDays),OFFSET($F13,0,'Sp1'!DoneDays-'Sp1'!TrendDays,1,'Sp1'!TrendDays),N13)&lt;0,"",TREND(OFFSET($F10,0,'Sp1'!DoneDays-'Sp1'!TrendDays,1,'Sp1'!TrendDays),OFFSET($F13,0,'Sp1'!DoneDays-'Sp1'!TrendDays,1,'Sp1'!TrendDays),N13))</f>
        <v>2.987878788</v>
      </c>
      <c r="O12" s="3">
        <f t="array" ref="O12">IF(TREND(OFFSET($F10,0,'Sp1'!DoneDays-'Sp1'!TrendDays,1,'Sp1'!TrendDays),OFFSET($F13,0,'Sp1'!DoneDays-'Sp1'!TrendDays,1,'Sp1'!TrendDays),O13)&lt;0,"",TREND(OFFSET($F10,0,'Sp1'!DoneDays-'Sp1'!TrendDays,1,'Sp1'!TrendDays),OFFSET($F13,0,'Sp1'!DoneDays-'Sp1'!TrendDays,1,'Sp1'!TrendDays),O13))</f>
        <v>1.727272727</v>
      </c>
      <c r="P12" s="3">
        <f t="array" ref="P12">IF(TREND(OFFSET($F10,0,'Sp1'!DoneDays-'Sp1'!TrendDays,1,'Sp1'!TrendDays),OFFSET($F13,0,'Sp1'!DoneDays-'Sp1'!TrendDays,1,'Sp1'!TrendDays),P13)&lt;0,"",TREND(OFFSET($F10,0,'Sp1'!DoneDays-'Sp1'!TrendDays,1,'Sp1'!TrendDays),OFFSET($F13,0,'Sp1'!DoneDays-'Sp1'!TrendDays,1,'Sp1'!TrendDays),P13))</f>
        <v>0.4666666667</v>
      </c>
      <c r="Q12" s="3" t="str">
        <f t="array" ref="Q12">IF(TREND(OFFSET($F10,0,'Sp1'!DoneDays-'Sp1'!TrendDays,1,'Sp1'!TrendDays),OFFSET($F13,0,'Sp1'!DoneDays-'Sp1'!TrendDays,1,'Sp1'!TrendDays),Q13)&lt;0,"",TREND(OFFSET($F10,0,'Sp1'!DoneDays-'Sp1'!TrendDays,1,'Sp1'!TrendDays),OFFSET($F13,0,'Sp1'!DoneDays-'Sp1'!TrendDays,1,'Sp1'!TrendDays),Q13))</f>
        <v/>
      </c>
      <c r="R12" s="3" t="str">
        <f t="array" ref="R12">IF(TREND(OFFSET($F10,0,'Sp1'!DoneDays-'Sp1'!TrendDays,1,'Sp1'!TrendDays),OFFSET($F13,0,'Sp1'!DoneDays-'Sp1'!TrendDays,1,'Sp1'!TrendDays),R13)&lt;0,"",TREND(OFFSET($F10,0,'Sp1'!DoneDays-'Sp1'!TrendDays,1,'Sp1'!TrendDays),OFFSET($F13,0,'Sp1'!DoneDays-'Sp1'!TrendDays,1,'Sp1'!TrendDays),R13))</f>
        <v/>
      </c>
      <c r="S12" s="3" t="str">
        <f t="array" ref="S12">IF(TREND(OFFSET($F10,0,'Sp1'!DoneDays-'Sp1'!TrendDays,1,'Sp1'!TrendDays),OFFSET($F13,0,'Sp1'!DoneDays-'Sp1'!TrendDays,1,'Sp1'!TrendDays),S13)&lt;0,"",TREND(OFFSET($F10,0,'Sp1'!DoneDays-'Sp1'!TrendDays,1,'Sp1'!TrendDays),OFFSET($F13,0,'Sp1'!DoneDays-'Sp1'!TrendDays,1,'Sp1'!TrendDays),S13))</f>
        <v/>
      </c>
      <c r="T12" s="3" t="str">
        <f t="array" ref="T12">IF(TREND(OFFSET($F10,0,'Sp1'!DoneDays-'Sp1'!TrendDays,1,'Sp1'!TrendDays),OFFSET($F13,0,'Sp1'!DoneDays-'Sp1'!TrendDays,1,'Sp1'!TrendDays),T13)&lt;0,"",TREND(OFFSET($F10,0,'Sp1'!DoneDays-'Sp1'!TrendDays,1,'Sp1'!TrendDays),OFFSET($F13,0,'Sp1'!DoneDays-'Sp1'!TrendDays,1,'Sp1'!TrendDays),T13))</f>
        <v/>
      </c>
      <c r="U12" s="3" t="str">
        <f t="array" ref="U12">IF(TREND(OFFSET($F10,0,'Sp1'!DoneDays-'Sp1'!TrendDays,1,'Sp1'!TrendDays),OFFSET($F13,0,'Sp1'!DoneDays-'Sp1'!TrendDays,1,'Sp1'!TrendDays),U13)&lt;0,"",TREND(OFFSET($F10,0,'Sp1'!DoneDays-'Sp1'!TrendDays,1,'Sp1'!TrendDays),OFFSET($F13,0,'Sp1'!DoneDays-'Sp1'!TrendDays,1,'Sp1'!TrendDays),U13))</f>
        <v/>
      </c>
      <c r="V12" s="3" t="str">
        <f t="array" ref="V12">IF(TREND(OFFSET($F10,0,'Sp1'!DoneDays-'Sp1'!TrendDays,1,'Sp1'!TrendDays),OFFSET($F13,0,'Sp1'!DoneDays-'Sp1'!TrendDays,1,'Sp1'!TrendDays),V13)&lt;0,"",TREND(OFFSET($F10,0,'Sp1'!DoneDays-'Sp1'!TrendDays,1,'Sp1'!TrendDays),OFFSET($F13,0,'Sp1'!DoneDays-'Sp1'!TrendDays,1,'Sp1'!TrendDays),V13))</f>
        <v/>
      </c>
      <c r="W12" s="3" t="str">
        <f t="array" ref="W12">IF(TREND(OFFSET($F10,0,'Sp1'!DoneDays-'Sp1'!TrendDays,1,'Sp1'!TrendDays),OFFSET($F13,0,'Sp1'!DoneDays-'Sp1'!TrendDays,1,'Sp1'!TrendDays),W13)&lt;0,"",TREND(OFFSET($F10,0,'Sp1'!DoneDays-'Sp1'!TrendDays,1,'Sp1'!TrendDays),OFFSET($F13,0,'Sp1'!DoneDays-'Sp1'!TrendDays,1,'Sp1'!TrendDays),W13))</f>
        <v/>
      </c>
      <c r="X12" s="3" t="str">
        <f t="array" ref="X12">IF(TREND(OFFSET($F10,0,'Sp1'!DoneDays-'Sp1'!TrendDays,1,'Sp1'!TrendDays),OFFSET($F13,0,'Sp1'!DoneDays-'Sp1'!TrendDays,1,'Sp1'!TrendDays),X13)&lt;0,"",TREND(OFFSET($F10,0,'Sp1'!DoneDays-'Sp1'!TrendDays,1,'Sp1'!TrendDays),OFFSET($F13,0,'Sp1'!DoneDays-'Sp1'!TrendDays,1,'Sp1'!TrendDays),X13))</f>
        <v/>
      </c>
      <c r="Y12" s="3" t="str">
        <f t="array" ref="Y12">IF(TREND(OFFSET($F10,0,'Sp1'!DoneDays-'Sp1'!TrendDays,1,'Sp1'!TrendDays),OFFSET($F13,0,'Sp1'!DoneDays-'Sp1'!TrendDays,1,'Sp1'!TrendDays),Y13)&lt;0,"",TREND(OFFSET($F10,0,'Sp1'!DoneDays-'Sp1'!TrendDays,1,'Sp1'!TrendDays),OFFSET($F13,0,'Sp1'!DoneDays-'Sp1'!TrendDays,1,'Sp1'!TrendDays),Y13))</f>
        <v/>
      </c>
      <c r="Z12" s="3" t="str">
        <f t="array" ref="Z12">IF(TREND(OFFSET($F10,0,'Sp1'!DoneDays-'Sp1'!TrendDays,1,'Sp1'!TrendDays),OFFSET($F13,0,'Sp1'!DoneDays-'Sp1'!TrendDays,1,'Sp1'!TrendDays),Z13)&lt;0,"",TREND(OFFSET($F10,0,'Sp1'!DoneDays-'Sp1'!TrendDays,1,'Sp1'!TrendDays),OFFSET($F13,0,'Sp1'!DoneDays-'Sp1'!TrendDays,1,'Sp1'!TrendDays),Z13))</f>
        <v/>
      </c>
      <c r="AA12" s="3" t="str">
        <f t="array" ref="AA12">IF(TREND(OFFSET($F10,0,'Sp1'!DoneDays-'Sp1'!TrendDays,1,'Sp1'!TrendDays),OFFSET($F13,0,'Sp1'!DoneDays-'Sp1'!TrendDays,1,'Sp1'!TrendDays),AA13)&lt;0,"",TREND(OFFSET($F10,0,'Sp1'!DoneDays-'Sp1'!TrendDays,1,'Sp1'!TrendDays),OFFSET($F13,0,'Sp1'!DoneDays-'Sp1'!TrendDays,1,'Sp1'!TrendDays),AA13))</f>
        <v/>
      </c>
      <c r="AB12" s="3" t="str">
        <f t="array" ref="AB12">IF(TREND(OFFSET($F10,0,'Sp1'!DoneDays-'Sp1'!TrendDays,1,'Sp1'!TrendDays),OFFSET($F13,0,'Sp1'!DoneDays-'Sp1'!TrendDays,1,'Sp1'!TrendDays),AB13)&lt;0,"",TREND(OFFSET($F10,0,'Sp1'!DoneDays-'Sp1'!TrendDays,1,'Sp1'!TrendDays),OFFSET($F13,0,'Sp1'!DoneDays-'Sp1'!TrendDays,1,'Sp1'!TrendDays),AB13))</f>
        <v/>
      </c>
      <c r="AC12" s="3" t="str">
        <f t="array" ref="AC12">IF(TREND(OFFSET($F10,0,'Sp1'!DoneDays-'Sp1'!TrendDays,1,'Sp1'!TrendDays),OFFSET($F13,0,'Sp1'!DoneDays-'Sp1'!TrendDays,1,'Sp1'!TrendDays),AC13)&lt;0,"",TREND(OFFSET($F10,0,'Sp1'!DoneDays-'Sp1'!TrendDays,1,'Sp1'!TrendDays),OFFSET($F13,0,'Sp1'!DoneDays-'Sp1'!TrendDays,1,'Sp1'!TrendDays),AC13))</f>
        <v/>
      </c>
      <c r="AD12" s="3" t="str">
        <f t="array" ref="AD12">IF(TREND(OFFSET($F10,0,'Sp1'!DoneDays-'Sp1'!TrendDays,1,'Sp1'!TrendDays),OFFSET($F13,0,'Sp1'!DoneDays-'Sp1'!TrendDays,1,'Sp1'!TrendDays),AD13)&lt;0,"",TREND(OFFSET($F10,0,'Sp1'!DoneDays-'Sp1'!TrendDays,1,'Sp1'!TrendDays),OFFSET($F13,0,'Sp1'!DoneDays-'Sp1'!TrendDays,1,'Sp1'!TrendDays),AD13))</f>
        <v/>
      </c>
      <c r="AE12" s="11"/>
    </row>
    <row r="13" ht="12.75" hidden="1" customHeight="1">
      <c r="A13" s="68" t="s">
        <v>60</v>
      </c>
      <c r="B13" s="9"/>
      <c r="C13" s="62" t="s">
        <v>61</v>
      </c>
      <c r="D13" s="3">
        <f>IF('Sp1'!DoneDays&gt;B10,B10,'Sp1'!DoneDays)</f>
        <v>10</v>
      </c>
      <c r="E13" s="3"/>
      <c r="F13" s="3">
        <f>IF('Sp1'!DoneDays&gt;E13,E13+1,"")</f>
        <v>1</v>
      </c>
      <c r="G13" s="3">
        <v>2.0</v>
      </c>
      <c r="H13" s="3">
        <v>3.0</v>
      </c>
      <c r="I13" s="3">
        <v>4.0</v>
      </c>
      <c r="J13" s="3">
        <v>5.0</v>
      </c>
      <c r="K13" s="3">
        <v>6.0</v>
      </c>
      <c r="L13" s="3">
        <v>7.0</v>
      </c>
      <c r="M13" s="3">
        <v>8.0</v>
      </c>
      <c r="N13" s="3">
        <v>9.0</v>
      </c>
      <c r="O13" s="3">
        <v>10.0</v>
      </c>
      <c r="P13" s="3">
        <v>11.0</v>
      </c>
      <c r="Q13" s="3">
        <v>12.0</v>
      </c>
      <c r="R13" s="3">
        <v>13.0</v>
      </c>
      <c r="S13" s="3">
        <v>14.0</v>
      </c>
      <c r="T13" s="3">
        <v>15.0</v>
      </c>
      <c r="U13" s="3">
        <v>16.0</v>
      </c>
      <c r="V13" s="3">
        <v>17.0</v>
      </c>
      <c r="W13" s="3">
        <v>18.0</v>
      </c>
      <c r="X13" s="3">
        <v>19.0</v>
      </c>
      <c r="Y13" s="3">
        <v>20.0</v>
      </c>
      <c r="Z13" s="3">
        <v>21.0</v>
      </c>
      <c r="AA13" s="3">
        <v>22.0</v>
      </c>
      <c r="AB13" s="3">
        <v>23.0</v>
      </c>
      <c r="AC13" s="3">
        <v>24.0</v>
      </c>
      <c r="AD13" s="3">
        <v>25.0</v>
      </c>
      <c r="AE13" s="11"/>
    </row>
    <row r="14" ht="12.75" customHeight="1">
      <c r="A14" s="35" t="s">
        <v>62</v>
      </c>
      <c r="B14" s="71" t="s">
        <v>11</v>
      </c>
      <c r="C14" s="35" t="s">
        <v>63</v>
      </c>
      <c r="D14" s="35" t="s">
        <v>8</v>
      </c>
      <c r="E14" s="71" t="s">
        <v>64</v>
      </c>
      <c r="F14" s="71">
        <v>1.0</v>
      </c>
      <c r="G14" s="71">
        <f t="shared" ref="G14:AD14" si="1">IF($B$9&gt;F14,F14+1,"")</f>
        <v>2</v>
      </c>
      <c r="H14" s="71">
        <f t="shared" si="1"/>
        <v>3</v>
      </c>
      <c r="I14" s="71">
        <f t="shared" si="1"/>
        <v>4</v>
      </c>
      <c r="J14" s="71">
        <f t="shared" si="1"/>
        <v>5</v>
      </c>
      <c r="K14" s="71">
        <f t="shared" si="1"/>
        <v>6</v>
      </c>
      <c r="L14" s="71">
        <f t="shared" si="1"/>
        <v>7</v>
      </c>
      <c r="M14" s="71">
        <f t="shared" si="1"/>
        <v>8</v>
      </c>
      <c r="N14" s="71">
        <f t="shared" si="1"/>
        <v>9</v>
      </c>
      <c r="O14" s="71">
        <f t="shared" si="1"/>
        <v>10</v>
      </c>
      <c r="P14" s="71">
        <f t="shared" si="1"/>
        <v>11</v>
      </c>
      <c r="Q14" s="71">
        <f t="shared" si="1"/>
        <v>12</v>
      </c>
      <c r="R14" s="71">
        <f t="shared" si="1"/>
        <v>13</v>
      </c>
      <c r="S14" s="71">
        <f t="shared" si="1"/>
        <v>14</v>
      </c>
      <c r="T14" s="71" t="str">
        <f t="shared" si="1"/>
        <v/>
      </c>
      <c r="U14" s="71" t="str">
        <f t="shared" si="1"/>
        <v/>
      </c>
      <c r="V14" s="71" t="str">
        <f t="shared" si="1"/>
        <v/>
      </c>
      <c r="W14" s="71" t="str">
        <f t="shared" si="1"/>
        <v/>
      </c>
      <c r="X14" s="71" t="str">
        <f t="shared" si="1"/>
        <v/>
      </c>
      <c r="Y14" s="71" t="str">
        <f t="shared" si="1"/>
        <v/>
      </c>
      <c r="Z14" s="71" t="str">
        <f t="shared" si="1"/>
        <v/>
      </c>
      <c r="AA14" s="71" t="str">
        <f t="shared" si="1"/>
        <v/>
      </c>
      <c r="AB14" s="71" t="str">
        <f t="shared" si="1"/>
        <v/>
      </c>
      <c r="AC14" s="71" t="str">
        <f t="shared" si="1"/>
        <v/>
      </c>
      <c r="AD14" s="71" t="str">
        <f t="shared" si="1"/>
        <v/>
      </c>
      <c r="AE14" s="11"/>
    </row>
    <row r="15" ht="12.75" customHeight="1">
      <c r="A15" s="72" t="s">
        <v>65</v>
      </c>
      <c r="B15" s="73">
        <v>2.0</v>
      </c>
      <c r="C15" s="72" t="s">
        <v>66</v>
      </c>
      <c r="D15" s="72" t="s">
        <v>67</v>
      </c>
      <c r="E15" s="73">
        <v>1.0</v>
      </c>
      <c r="F15" s="73">
        <v>1.0</v>
      </c>
      <c r="G15" s="73">
        <v>0.0</v>
      </c>
      <c r="H15" s="73"/>
      <c r="I15" s="73"/>
      <c r="J15" s="36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11"/>
    </row>
    <row r="16" ht="12.75" customHeight="1">
      <c r="A16" s="72" t="s">
        <v>68</v>
      </c>
      <c r="B16" s="3">
        <v>1.0</v>
      </c>
      <c r="C16" s="72" t="s">
        <v>69</v>
      </c>
      <c r="D16" s="62" t="s">
        <v>67</v>
      </c>
      <c r="E16" s="73">
        <v>3.0</v>
      </c>
      <c r="F16" s="73">
        <v>3.0</v>
      </c>
      <c r="G16" s="73">
        <v>3.0</v>
      </c>
      <c r="H16" s="73">
        <v>3.0</v>
      </c>
      <c r="I16" s="73">
        <v>2.0</v>
      </c>
      <c r="J16" s="36">
        <v>2.0</v>
      </c>
      <c r="K16" s="36">
        <v>1.0</v>
      </c>
      <c r="L16" s="36">
        <v>0.0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11"/>
    </row>
    <row r="17" ht="12.75" customHeight="1">
      <c r="A17" s="72" t="s">
        <v>70</v>
      </c>
      <c r="B17" s="73">
        <v>9.0</v>
      </c>
      <c r="C17" s="72" t="s">
        <v>71</v>
      </c>
      <c r="D17" s="62" t="s">
        <v>67</v>
      </c>
      <c r="E17" s="73">
        <v>5.0</v>
      </c>
      <c r="F17" s="73">
        <v>5.0</v>
      </c>
      <c r="G17" s="73">
        <v>5.0</v>
      </c>
      <c r="H17" s="73">
        <v>5.0</v>
      </c>
      <c r="I17" s="73">
        <v>5.0</v>
      </c>
      <c r="J17" s="36">
        <v>5.0</v>
      </c>
      <c r="K17" s="36">
        <v>5.0</v>
      </c>
      <c r="L17" s="36">
        <v>5.0</v>
      </c>
      <c r="M17" s="36">
        <v>4.0</v>
      </c>
      <c r="N17" s="36">
        <v>3.0</v>
      </c>
      <c r="O17" s="36">
        <v>1.0</v>
      </c>
      <c r="P17" s="36">
        <v>0.0</v>
      </c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 t="str">
        <f t="shared" ref="AC17:AD17" si="2">IF(OR(AC$14="",$E17=""),"",AB17)</f>
        <v/>
      </c>
      <c r="AD17" s="9" t="str">
        <f t="shared" si="2"/>
        <v/>
      </c>
      <c r="AE17" s="11"/>
    </row>
    <row r="18" ht="12.75" customHeight="1">
      <c r="A18" s="72" t="s">
        <v>72</v>
      </c>
      <c r="B18" s="73">
        <v>3.0</v>
      </c>
      <c r="C18" s="72" t="s">
        <v>73</v>
      </c>
      <c r="D18" s="72" t="s">
        <v>67</v>
      </c>
      <c r="E18" s="73">
        <v>3.0</v>
      </c>
      <c r="F18" s="73">
        <v>3.0</v>
      </c>
      <c r="G18" s="73">
        <v>3.0</v>
      </c>
      <c r="H18" s="73">
        <v>3.0</v>
      </c>
      <c r="I18" s="73">
        <v>3.0</v>
      </c>
      <c r="J18" s="36">
        <v>3.0</v>
      </c>
      <c r="K18" s="36">
        <v>1.0</v>
      </c>
      <c r="L18" s="36">
        <v>0.0</v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11"/>
    </row>
    <row r="19" ht="12.75" customHeight="1">
      <c r="A19" s="5"/>
      <c r="B19" s="9"/>
      <c r="D19" s="11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 t="str">
        <f t="shared" ref="AC19:AD19" si="3">IF(OR(AC$14="",$E19=""),"",AB19)</f>
        <v/>
      </c>
      <c r="AD19" s="9" t="str">
        <f t="shared" si="3"/>
        <v/>
      </c>
      <c r="AE19" s="11"/>
    </row>
    <row r="20" ht="12.75" customHeight="1">
      <c r="A20" s="5"/>
      <c r="B20" s="9"/>
      <c r="D20" s="11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 t="str">
        <f t="shared" ref="AC20:AD20" si="4">IF(OR(AC$14="",$E20=""),"",AB20)</f>
        <v/>
      </c>
      <c r="AD20" s="9" t="str">
        <f t="shared" si="4"/>
        <v/>
      </c>
      <c r="AE20" s="11"/>
    </row>
    <row r="21" ht="12.75" customHeight="1">
      <c r="A21" s="5"/>
      <c r="B21" s="9"/>
      <c r="D21" s="11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 t="str">
        <f t="shared" ref="AC21:AD21" si="5">IF(OR(AC$14="",$E21=""),"",AB21)</f>
        <v/>
      </c>
      <c r="AD21" s="9" t="str">
        <f t="shared" si="5"/>
        <v/>
      </c>
      <c r="AE21" s="11"/>
    </row>
    <row r="22" ht="12.75" customHeight="1">
      <c r="A22" s="5"/>
      <c r="B22" s="9"/>
      <c r="D22" s="11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 t="str">
        <f t="shared" ref="AC22:AD22" si="6">IF(OR(AC$14="",$E22=""),"",AB22)</f>
        <v/>
      </c>
      <c r="AD22" s="9" t="str">
        <f t="shared" si="6"/>
        <v/>
      </c>
      <c r="AE22" s="11"/>
    </row>
    <row r="23" ht="15.0" customHeight="1">
      <c r="A23" s="5"/>
      <c r="B23" s="36"/>
      <c r="D23" s="11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 t="str">
        <f t="shared" ref="AC23:AD23" si="7">IF(OR(AC$14="",$E23=""),"",AB23)</f>
        <v/>
      </c>
      <c r="AD23" s="9" t="str">
        <f t="shared" si="7"/>
        <v/>
      </c>
      <c r="AE23" s="11"/>
    </row>
    <row r="24" ht="12.75" customHeight="1">
      <c r="A24" s="5"/>
      <c r="B24" s="9"/>
      <c r="D24" s="11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 t="str">
        <f t="shared" ref="AC24:AD24" si="8">IF(OR(AC$14="",$E24=""),"",AB24)</f>
        <v/>
      </c>
      <c r="AD24" s="9" t="str">
        <f t="shared" si="8"/>
        <v/>
      </c>
      <c r="AE24" s="11"/>
    </row>
    <row r="25" ht="12.75" customHeight="1">
      <c r="A25" s="5"/>
      <c r="B25" s="9"/>
      <c r="D25" s="11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11"/>
    </row>
    <row r="26" ht="12.75" customHeight="1">
      <c r="A26" s="5"/>
      <c r="B26" s="9"/>
      <c r="D26" s="11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 t="str">
        <f t="shared" ref="AC26:AD26" si="9">IF(OR(AC$14="",$E26=""),"",AB26)</f>
        <v/>
      </c>
      <c r="AD26" s="9" t="str">
        <f t="shared" si="9"/>
        <v/>
      </c>
      <c r="AE26" s="11"/>
    </row>
    <row r="27" ht="12.75" customHeight="1">
      <c r="A27" s="5"/>
      <c r="B27" s="9"/>
      <c r="D27" s="11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 t="str">
        <f t="shared" ref="AC27:AD27" si="10">IF(OR(AC$14="",$E27=""),"",AB27)</f>
        <v/>
      </c>
      <c r="AD27" s="9" t="str">
        <f t="shared" si="10"/>
        <v/>
      </c>
      <c r="AE27" s="11"/>
    </row>
    <row r="28" ht="12.75" customHeight="1">
      <c r="A28" s="5"/>
      <c r="B28" s="9"/>
      <c r="D28" s="11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 t="str">
        <f t="shared" ref="AC28:AD28" si="11">IF(OR(AC$14="",$E28=""),"",AB28)</f>
        <v/>
      </c>
      <c r="AD28" s="9" t="str">
        <f t="shared" si="11"/>
        <v/>
      </c>
      <c r="AE28" s="11"/>
    </row>
    <row r="29" ht="12.75" customHeight="1">
      <c r="A29" s="5"/>
      <c r="B29" s="9"/>
      <c r="D29" s="11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 t="str">
        <f t="shared" ref="AC29:AD29" si="12">IF(OR(AC$14="",$E29=""),"",AB29)</f>
        <v/>
      </c>
      <c r="AD29" s="9" t="str">
        <f t="shared" si="12"/>
        <v/>
      </c>
      <c r="AE29" s="11"/>
    </row>
    <row r="30" ht="12.75" customHeight="1">
      <c r="A30" s="5"/>
      <c r="B30" s="9"/>
      <c r="D30" s="11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 t="str">
        <f t="shared" ref="AC30:AD30" si="13">IF(OR(AC$14="",$E30=""),"",AB30)</f>
        <v/>
      </c>
      <c r="AD30" s="9" t="str">
        <f t="shared" si="13"/>
        <v/>
      </c>
      <c r="AE30" s="11"/>
    </row>
    <row r="31" ht="12.75" customHeight="1">
      <c r="A31" s="5"/>
      <c r="B31" s="9"/>
      <c r="D31" s="11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 t="str">
        <f t="shared" ref="AC31:AD31" si="14">IF(OR(AC$14="",$E31=""),"",AB31)</f>
        <v/>
      </c>
      <c r="AD31" s="9" t="str">
        <f t="shared" si="14"/>
        <v/>
      </c>
      <c r="AE31" s="11"/>
    </row>
    <row r="32" ht="12.75" customHeight="1">
      <c r="A32" s="5"/>
      <c r="B32" s="9"/>
      <c r="D32" s="11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 t="str">
        <f t="shared" ref="AC32:AD32" si="15">IF(OR(AC$14="",$E32=""),"",AB32)</f>
        <v/>
      </c>
      <c r="AD32" s="9" t="str">
        <f t="shared" si="15"/>
        <v/>
      </c>
      <c r="AE32" s="11"/>
    </row>
    <row r="33" ht="12.75" customHeight="1">
      <c r="A33" s="5"/>
      <c r="B33" s="9"/>
      <c r="D33" s="11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 t="str">
        <f t="shared" ref="AC33:AD33" si="16">IF(OR(AC$14="",$E33=""),"",AB33)</f>
        <v/>
      </c>
      <c r="AD33" s="9" t="str">
        <f t="shared" si="16"/>
        <v/>
      </c>
      <c r="AE33" s="11"/>
    </row>
    <row r="34" ht="12.75" customHeight="1">
      <c r="A34" s="5"/>
      <c r="B34" s="9"/>
      <c r="D34" s="11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 t="str">
        <f t="shared" ref="AC34:AD34" si="17">IF(OR(AC$14="",$E34=""),"",AB34)</f>
        <v/>
      </c>
      <c r="AD34" s="9" t="str">
        <f t="shared" si="17"/>
        <v/>
      </c>
      <c r="AE34" s="11"/>
    </row>
    <row r="35" ht="12.75" customHeight="1">
      <c r="A35" s="5"/>
      <c r="B35" s="9"/>
      <c r="D35" s="11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11"/>
    </row>
    <row r="36" ht="12.75" customHeight="1">
      <c r="A36" s="5"/>
      <c r="B36" s="9"/>
      <c r="D36" s="11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 t="str">
        <f t="shared" ref="AC36:AD36" si="18">IF(OR(AC$14="",$E36=""),"",AB36)</f>
        <v/>
      </c>
      <c r="AD36" s="9" t="str">
        <f t="shared" si="18"/>
        <v/>
      </c>
      <c r="AE36" s="11"/>
    </row>
    <row r="37" ht="12.75" customHeight="1">
      <c r="A37" s="5"/>
      <c r="B37" s="9"/>
      <c r="D37" s="11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 t="str">
        <f t="shared" ref="AC37:AD37" si="19">IF(OR(AC$14="",$E37=""),"",AB37)</f>
        <v/>
      </c>
      <c r="AD37" s="9" t="str">
        <f t="shared" si="19"/>
        <v/>
      </c>
      <c r="AE37" s="11"/>
    </row>
    <row r="38" ht="12.75" customHeight="1">
      <c r="A38" s="5"/>
      <c r="B38" s="9"/>
      <c r="D38" s="11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 t="str">
        <f t="shared" ref="AC38:AD38" si="20">IF(OR(AC$14="",$E38=""),"",AB38)</f>
        <v/>
      </c>
      <c r="AD38" s="9" t="str">
        <f t="shared" si="20"/>
        <v/>
      </c>
      <c r="AE38" s="11"/>
    </row>
    <row r="39" ht="12.75" customHeight="1">
      <c r="A39" s="5"/>
      <c r="B39" s="9"/>
      <c r="D39" s="11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 t="str">
        <f t="shared" ref="AC39:AD39" si="21">IF(OR(AC$14="",$E39=""),"",AB39)</f>
        <v/>
      </c>
      <c r="AD39" s="9" t="str">
        <f t="shared" si="21"/>
        <v/>
      </c>
      <c r="AE39" s="11"/>
    </row>
    <row r="40" ht="12.75" customHeight="1">
      <c r="A40" s="5"/>
      <c r="B40" s="9"/>
      <c r="D40" s="11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 t="str">
        <f t="shared" ref="AC40:AD40" si="22">IF(OR(AC$14="",$E40=""),"",AB40)</f>
        <v/>
      </c>
      <c r="AD40" s="9" t="str">
        <f t="shared" si="22"/>
        <v/>
      </c>
      <c r="AE40" s="11"/>
    </row>
    <row r="41" ht="12.75" customHeight="1">
      <c r="A41" s="5"/>
      <c r="B41" s="9"/>
      <c r="D41" s="11" t="str">
        <f t="shared" ref="D41:D64" si="24">IF(A41&lt;&gt;"","Planned","")</f>
        <v/>
      </c>
      <c r="E41" s="9"/>
      <c r="F41" s="9" t="str">
        <f t="shared" ref="F41:F63" si="25">IF(OR(F$14="",$E41=""),"",E41)</f>
        <v/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 t="str">
        <f t="shared" ref="AC41:AD41" si="23">IF(OR(AC$14="",$E41=""),"",AB41)</f>
        <v/>
      </c>
      <c r="AD41" s="9" t="str">
        <f t="shared" si="23"/>
        <v/>
      </c>
      <c r="AE41" s="11"/>
    </row>
    <row r="42" ht="12.75" customHeight="1">
      <c r="A42" s="11"/>
      <c r="B42" s="9"/>
      <c r="D42" s="11" t="str">
        <f t="shared" si="24"/>
        <v/>
      </c>
      <c r="E42" s="9"/>
      <c r="F42" s="9" t="str">
        <f t="shared" si="25"/>
        <v/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 t="str">
        <f t="shared" ref="AC42:AD42" si="26">IF(OR(AC$14="",$E42=""),"",AB42)</f>
        <v/>
      </c>
      <c r="AD42" s="9" t="str">
        <f t="shared" si="26"/>
        <v/>
      </c>
      <c r="AE42" s="11"/>
    </row>
    <row r="43" ht="12.75" customHeight="1">
      <c r="A43" s="11"/>
      <c r="B43" s="9"/>
      <c r="D43" s="11" t="str">
        <f t="shared" si="24"/>
        <v/>
      </c>
      <c r="E43" s="9"/>
      <c r="F43" s="9" t="str">
        <f t="shared" si="25"/>
        <v/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 t="str">
        <f t="shared" ref="AC43:AD43" si="27">IF(OR(AC$14="",$E43=""),"",AB43)</f>
        <v/>
      </c>
      <c r="AD43" s="9" t="str">
        <f t="shared" si="27"/>
        <v/>
      </c>
      <c r="AE43" s="11"/>
    </row>
    <row r="44" ht="12.75" customHeight="1">
      <c r="A44" s="11"/>
      <c r="B44" s="9"/>
      <c r="D44" s="11" t="str">
        <f t="shared" si="24"/>
        <v/>
      </c>
      <c r="E44" s="9"/>
      <c r="F44" s="9" t="str">
        <f t="shared" si="25"/>
        <v/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 t="str">
        <f t="shared" ref="AC44:AD44" si="28">IF(OR(AC$14="",$E44=""),"",AB44)</f>
        <v/>
      </c>
      <c r="AD44" s="9" t="str">
        <f t="shared" si="28"/>
        <v/>
      </c>
      <c r="AE44" s="11"/>
    </row>
    <row r="45" ht="12.75" customHeight="1">
      <c r="A45" s="11"/>
      <c r="B45" s="9"/>
      <c r="D45" s="11" t="str">
        <f t="shared" si="24"/>
        <v/>
      </c>
      <c r="E45" s="9"/>
      <c r="F45" s="9" t="str">
        <f t="shared" si="25"/>
        <v/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 t="str">
        <f t="shared" ref="AC45:AD45" si="29">IF(OR(AC$14="",$E45=""),"",AB45)</f>
        <v/>
      </c>
      <c r="AD45" s="9" t="str">
        <f t="shared" si="29"/>
        <v/>
      </c>
      <c r="AE45" s="11"/>
    </row>
    <row r="46" ht="12.75" customHeight="1">
      <c r="A46" s="11"/>
      <c r="B46" s="9"/>
      <c r="D46" s="11" t="str">
        <f t="shared" si="24"/>
        <v/>
      </c>
      <c r="E46" s="9"/>
      <c r="F46" s="9" t="str">
        <f t="shared" si="25"/>
        <v/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 t="str">
        <f t="shared" ref="AC46:AD46" si="30">IF(OR(AC$14="",$E46=""),"",AB46)</f>
        <v/>
      </c>
      <c r="AD46" s="9" t="str">
        <f t="shared" si="30"/>
        <v/>
      </c>
      <c r="AE46" s="11"/>
    </row>
    <row r="47" ht="12.75" customHeight="1">
      <c r="A47" s="11"/>
      <c r="B47" s="9"/>
      <c r="D47" s="11" t="str">
        <f t="shared" si="24"/>
        <v/>
      </c>
      <c r="E47" s="9"/>
      <c r="F47" s="9" t="str">
        <f t="shared" si="25"/>
        <v/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 t="str">
        <f t="shared" ref="AC47:AD47" si="31">IF(OR(AC$14="",$E47=""),"",AB47)</f>
        <v/>
      </c>
      <c r="AD47" s="9" t="str">
        <f t="shared" si="31"/>
        <v/>
      </c>
      <c r="AE47" s="11"/>
    </row>
    <row r="48" ht="12.75" customHeight="1">
      <c r="A48" s="11"/>
      <c r="B48" s="9"/>
      <c r="D48" s="11" t="str">
        <f t="shared" si="24"/>
        <v/>
      </c>
      <c r="E48" s="9"/>
      <c r="F48" s="9" t="str">
        <f t="shared" si="25"/>
        <v/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 t="str">
        <f t="shared" ref="AC48:AD48" si="32">IF(OR(AC$14="",$E48=""),"",AB48)</f>
        <v/>
      </c>
      <c r="AD48" s="9" t="str">
        <f t="shared" si="32"/>
        <v/>
      </c>
      <c r="AE48" s="11"/>
    </row>
    <row r="49" ht="12.75" customHeight="1">
      <c r="A49" s="11"/>
      <c r="B49" s="9"/>
      <c r="D49" s="11" t="str">
        <f t="shared" si="24"/>
        <v/>
      </c>
      <c r="E49" s="9"/>
      <c r="F49" s="9" t="str">
        <f t="shared" si="25"/>
        <v/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 t="str">
        <f t="shared" ref="AC49:AD49" si="33">IF(OR(AC$14="",$E49=""),"",AB49)</f>
        <v/>
      </c>
      <c r="AD49" s="9" t="str">
        <f t="shared" si="33"/>
        <v/>
      </c>
      <c r="AE49" s="11"/>
    </row>
    <row r="50" ht="12.75" customHeight="1">
      <c r="A50" s="11"/>
      <c r="B50" s="9"/>
      <c r="D50" s="11" t="str">
        <f t="shared" si="24"/>
        <v/>
      </c>
      <c r="E50" s="9"/>
      <c r="F50" s="9" t="str">
        <f t="shared" si="25"/>
        <v/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 t="str">
        <f t="shared" ref="AC50:AD50" si="34">IF(OR(AC$14="",$E50=""),"",AB50)</f>
        <v/>
      </c>
      <c r="AD50" s="9" t="str">
        <f t="shared" si="34"/>
        <v/>
      </c>
      <c r="AE50" s="11"/>
    </row>
    <row r="51" ht="12.75" customHeight="1">
      <c r="A51" s="11"/>
      <c r="B51" s="9"/>
      <c r="D51" s="11" t="str">
        <f t="shared" si="24"/>
        <v/>
      </c>
      <c r="E51" s="9"/>
      <c r="F51" s="9" t="str">
        <f t="shared" si="25"/>
        <v/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 t="str">
        <f t="shared" ref="AC51:AD51" si="35">IF(OR(AC$14="",$E51=""),"",AB51)</f>
        <v/>
      </c>
      <c r="AD51" s="9" t="str">
        <f t="shared" si="35"/>
        <v/>
      </c>
      <c r="AE51" s="11"/>
    </row>
    <row r="52" ht="12.75" customHeight="1">
      <c r="A52" s="11"/>
      <c r="B52" s="9"/>
      <c r="D52" s="11" t="str">
        <f t="shared" si="24"/>
        <v/>
      </c>
      <c r="E52" s="9"/>
      <c r="F52" s="9" t="str">
        <f t="shared" si="25"/>
        <v/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 t="str">
        <f t="shared" ref="AC52:AD52" si="36">IF(OR(AC$14="",$E52=""),"",AB52)</f>
        <v/>
      </c>
      <c r="AD52" s="9" t="str">
        <f t="shared" si="36"/>
        <v/>
      </c>
      <c r="AE52" s="11"/>
    </row>
    <row r="53" ht="12.75" customHeight="1">
      <c r="A53" s="11"/>
      <c r="B53" s="9"/>
      <c r="D53" s="11" t="str">
        <f t="shared" si="24"/>
        <v/>
      </c>
      <c r="E53" s="9"/>
      <c r="F53" s="9" t="str">
        <f t="shared" si="25"/>
        <v/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 t="str">
        <f t="shared" ref="AC53:AD53" si="37">IF(OR(AC$14="",$E53=""),"",AB53)</f>
        <v/>
      </c>
      <c r="AD53" s="9" t="str">
        <f t="shared" si="37"/>
        <v/>
      </c>
      <c r="AE53" s="11"/>
    </row>
    <row r="54" ht="12.75" customHeight="1">
      <c r="A54" s="11"/>
      <c r="B54" s="9"/>
      <c r="D54" s="11" t="str">
        <f t="shared" si="24"/>
        <v/>
      </c>
      <c r="E54" s="9"/>
      <c r="F54" s="9" t="str">
        <f t="shared" si="25"/>
        <v/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 t="str">
        <f t="shared" ref="AC54:AD54" si="38">IF(OR(AC$14="",$E54=""),"",AB54)</f>
        <v/>
      </c>
      <c r="AD54" s="9" t="str">
        <f t="shared" si="38"/>
        <v/>
      </c>
      <c r="AE54" s="11"/>
    </row>
    <row r="55" ht="12.75" customHeight="1">
      <c r="A55" s="11"/>
      <c r="B55" s="9"/>
      <c r="D55" s="11" t="str">
        <f t="shared" si="24"/>
        <v/>
      </c>
      <c r="E55" s="9"/>
      <c r="F55" s="9" t="str">
        <f t="shared" si="25"/>
        <v/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 t="str">
        <f t="shared" ref="AC55:AD55" si="39">IF(OR(AC$14="",$E55=""),"",AB55)</f>
        <v/>
      </c>
      <c r="AD55" s="9" t="str">
        <f t="shared" si="39"/>
        <v/>
      </c>
      <c r="AE55" s="11"/>
    </row>
    <row r="56" ht="12.75" customHeight="1">
      <c r="A56" s="11"/>
      <c r="B56" s="9"/>
      <c r="D56" s="11" t="str">
        <f t="shared" si="24"/>
        <v/>
      </c>
      <c r="E56" s="9"/>
      <c r="F56" s="9" t="str">
        <f t="shared" si="25"/>
        <v/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 t="str">
        <f t="shared" ref="AC56:AD56" si="40">IF(OR(AC$14="",$E56=""),"",AB56)</f>
        <v/>
      </c>
      <c r="AD56" s="9" t="str">
        <f t="shared" si="40"/>
        <v/>
      </c>
      <c r="AE56" s="11"/>
    </row>
    <row r="57" ht="12.75" customHeight="1">
      <c r="A57" s="11"/>
      <c r="B57" s="9"/>
      <c r="D57" s="11" t="str">
        <f t="shared" si="24"/>
        <v/>
      </c>
      <c r="E57" s="9"/>
      <c r="F57" s="9" t="str">
        <f t="shared" si="25"/>
        <v/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 t="str">
        <f t="shared" ref="AC57:AD57" si="41">IF(OR(AC$14="",$E57=""),"",AB57)</f>
        <v/>
      </c>
      <c r="AD57" s="9" t="str">
        <f t="shared" si="41"/>
        <v/>
      </c>
      <c r="AE57" s="11"/>
    </row>
    <row r="58" ht="12.75" customHeight="1">
      <c r="A58" s="11"/>
      <c r="B58" s="9"/>
      <c r="D58" s="11" t="str">
        <f t="shared" si="24"/>
        <v/>
      </c>
      <c r="E58" s="9"/>
      <c r="F58" s="9" t="str">
        <f t="shared" si="25"/>
        <v/>
      </c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 t="str">
        <f t="shared" ref="AC58:AD58" si="42">IF(OR(AC$14="",$E58=""),"",AB58)</f>
        <v/>
      </c>
      <c r="AD58" s="9" t="str">
        <f t="shared" si="42"/>
        <v/>
      </c>
      <c r="AE58" s="11"/>
    </row>
    <row r="59" ht="12.75" customHeight="1">
      <c r="A59" s="11"/>
      <c r="B59" s="9"/>
      <c r="D59" s="11" t="str">
        <f t="shared" si="24"/>
        <v/>
      </c>
      <c r="E59" s="9"/>
      <c r="F59" s="9" t="str">
        <f t="shared" si="25"/>
        <v/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 t="str">
        <f t="shared" ref="AC59:AD59" si="43">IF(OR(AC$14="",$E59=""),"",AB59)</f>
        <v/>
      </c>
      <c r="AD59" s="9" t="str">
        <f t="shared" si="43"/>
        <v/>
      </c>
      <c r="AE59" s="11"/>
    </row>
    <row r="60" ht="12.75" customHeight="1">
      <c r="A60" s="11"/>
      <c r="B60" s="9"/>
      <c r="D60" s="11" t="str">
        <f t="shared" si="24"/>
        <v/>
      </c>
      <c r="E60" s="9"/>
      <c r="F60" s="9" t="str">
        <f t="shared" si="25"/>
        <v/>
      </c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 t="str">
        <f t="shared" ref="AC60:AD60" si="44">IF(OR(AC$14="",$E60=""),"",AB60)</f>
        <v/>
      </c>
      <c r="AD60" s="9" t="str">
        <f t="shared" si="44"/>
        <v/>
      </c>
      <c r="AE60" s="11"/>
    </row>
    <row r="61" ht="12.75" customHeight="1">
      <c r="A61" s="11"/>
      <c r="B61" s="9"/>
      <c r="D61" s="11" t="str">
        <f t="shared" si="24"/>
        <v/>
      </c>
      <c r="E61" s="9"/>
      <c r="F61" s="9" t="str">
        <f t="shared" si="25"/>
        <v/>
      </c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 t="str">
        <f t="shared" ref="AC61:AD61" si="45">IF(OR(AC$14="",$E61=""),"",AB61)</f>
        <v/>
      </c>
      <c r="AD61" s="9" t="str">
        <f t="shared" si="45"/>
        <v/>
      </c>
      <c r="AE61" s="11"/>
    </row>
    <row r="62" ht="12.75" customHeight="1">
      <c r="A62" s="11"/>
      <c r="B62" s="9"/>
      <c r="D62" s="11" t="str">
        <f t="shared" si="24"/>
        <v/>
      </c>
      <c r="E62" s="9"/>
      <c r="F62" s="9" t="str">
        <f t="shared" si="25"/>
        <v/>
      </c>
      <c r="G62" s="9" t="str">
        <f t="shared" ref="G62:AD62" si="46">IF(OR(G$14="",$E62=""),"",F62)</f>
        <v/>
      </c>
      <c r="H62" s="9" t="str">
        <f t="shared" si="46"/>
        <v/>
      </c>
      <c r="I62" s="9" t="str">
        <f t="shared" si="46"/>
        <v/>
      </c>
      <c r="J62" s="9" t="str">
        <f t="shared" si="46"/>
        <v/>
      </c>
      <c r="K62" s="9" t="str">
        <f t="shared" si="46"/>
        <v/>
      </c>
      <c r="L62" s="9" t="str">
        <f t="shared" si="46"/>
        <v/>
      </c>
      <c r="M62" s="9" t="str">
        <f t="shared" si="46"/>
        <v/>
      </c>
      <c r="N62" s="9" t="str">
        <f t="shared" si="46"/>
        <v/>
      </c>
      <c r="O62" s="9" t="str">
        <f t="shared" si="46"/>
        <v/>
      </c>
      <c r="P62" s="9" t="str">
        <f t="shared" si="46"/>
        <v/>
      </c>
      <c r="Q62" s="9" t="str">
        <f t="shared" si="46"/>
        <v/>
      </c>
      <c r="R62" s="9" t="str">
        <f t="shared" si="46"/>
        <v/>
      </c>
      <c r="S62" s="9" t="str">
        <f t="shared" si="46"/>
        <v/>
      </c>
      <c r="T62" s="9" t="str">
        <f t="shared" si="46"/>
        <v/>
      </c>
      <c r="U62" s="9" t="str">
        <f t="shared" si="46"/>
        <v/>
      </c>
      <c r="V62" s="9" t="str">
        <f t="shared" si="46"/>
        <v/>
      </c>
      <c r="W62" s="9" t="str">
        <f t="shared" si="46"/>
        <v/>
      </c>
      <c r="X62" s="9" t="str">
        <f t="shared" si="46"/>
        <v/>
      </c>
      <c r="Y62" s="9" t="str">
        <f t="shared" si="46"/>
        <v/>
      </c>
      <c r="Z62" s="9" t="str">
        <f t="shared" si="46"/>
        <v/>
      </c>
      <c r="AA62" s="9" t="str">
        <f t="shared" si="46"/>
        <v/>
      </c>
      <c r="AB62" s="9" t="str">
        <f t="shared" si="46"/>
        <v/>
      </c>
      <c r="AC62" s="9" t="str">
        <f t="shared" si="46"/>
        <v/>
      </c>
      <c r="AD62" s="9" t="str">
        <f t="shared" si="46"/>
        <v/>
      </c>
      <c r="AE62" s="11"/>
    </row>
    <row r="63" ht="12.75" customHeight="1">
      <c r="A63" s="11"/>
      <c r="B63" s="9"/>
      <c r="D63" s="11" t="str">
        <f t="shared" si="24"/>
        <v/>
      </c>
      <c r="E63" s="9"/>
      <c r="F63" s="9" t="str">
        <f t="shared" si="25"/>
        <v/>
      </c>
      <c r="G63" s="9" t="str">
        <f t="shared" ref="G63:AD63" si="47">IF(OR(G$14="",$E63=""),"",F63)</f>
        <v/>
      </c>
      <c r="H63" s="9" t="str">
        <f t="shared" si="47"/>
        <v/>
      </c>
      <c r="I63" s="9" t="str">
        <f t="shared" si="47"/>
        <v/>
      </c>
      <c r="J63" s="9" t="str">
        <f t="shared" si="47"/>
        <v/>
      </c>
      <c r="K63" s="9" t="str">
        <f t="shared" si="47"/>
        <v/>
      </c>
      <c r="L63" s="9" t="str">
        <f t="shared" si="47"/>
        <v/>
      </c>
      <c r="M63" s="9" t="str">
        <f t="shared" si="47"/>
        <v/>
      </c>
      <c r="N63" s="9" t="str">
        <f t="shared" si="47"/>
        <v/>
      </c>
      <c r="O63" s="9" t="str">
        <f t="shared" si="47"/>
        <v/>
      </c>
      <c r="P63" s="9" t="str">
        <f t="shared" si="47"/>
        <v/>
      </c>
      <c r="Q63" s="9" t="str">
        <f t="shared" si="47"/>
        <v/>
      </c>
      <c r="R63" s="9" t="str">
        <f t="shared" si="47"/>
        <v/>
      </c>
      <c r="S63" s="9" t="str">
        <f t="shared" si="47"/>
        <v/>
      </c>
      <c r="T63" s="9" t="str">
        <f t="shared" si="47"/>
        <v/>
      </c>
      <c r="U63" s="9" t="str">
        <f t="shared" si="47"/>
        <v/>
      </c>
      <c r="V63" s="9" t="str">
        <f t="shared" si="47"/>
        <v/>
      </c>
      <c r="W63" s="9" t="str">
        <f t="shared" si="47"/>
        <v/>
      </c>
      <c r="X63" s="9" t="str">
        <f t="shared" si="47"/>
        <v/>
      </c>
      <c r="Y63" s="9" t="str">
        <f t="shared" si="47"/>
        <v/>
      </c>
      <c r="Z63" s="9" t="str">
        <f t="shared" si="47"/>
        <v/>
      </c>
      <c r="AA63" s="9" t="str">
        <f t="shared" si="47"/>
        <v/>
      </c>
      <c r="AB63" s="9" t="str">
        <f t="shared" si="47"/>
        <v/>
      </c>
      <c r="AC63" s="9" t="str">
        <f t="shared" si="47"/>
        <v/>
      </c>
      <c r="AD63" s="9" t="str">
        <f t="shared" si="47"/>
        <v/>
      </c>
      <c r="AE63" s="11"/>
    </row>
    <row r="64" ht="12.75" customHeight="1">
      <c r="A64" s="11"/>
      <c r="B64" s="9"/>
      <c r="D64" s="11" t="str">
        <f t="shared" si="24"/>
        <v/>
      </c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11"/>
    </row>
    <row r="65" ht="12.75" customHeight="1">
      <c r="A65" s="11"/>
      <c r="B65" s="9"/>
      <c r="D65" s="11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11"/>
    </row>
    <row r="66" ht="12.75" customHeight="1">
      <c r="A66" s="11"/>
      <c r="B66" s="9"/>
      <c r="D66" s="11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11"/>
    </row>
    <row r="67" ht="12.75" customHeight="1">
      <c r="A67" s="11"/>
      <c r="B67" s="9"/>
      <c r="D67" s="11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11"/>
    </row>
    <row r="68" ht="12.75" customHeight="1">
      <c r="A68" s="11"/>
      <c r="B68" s="9"/>
      <c r="D68" s="11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11"/>
    </row>
    <row r="69" ht="12.75" customHeight="1">
      <c r="A69" s="11"/>
      <c r="B69" s="9"/>
      <c r="D69" s="11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11"/>
    </row>
    <row r="70" ht="12.75" customHeight="1">
      <c r="A70" s="11"/>
      <c r="B70" s="9"/>
      <c r="D70" s="11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11"/>
    </row>
    <row r="71" ht="12.75" customHeight="1">
      <c r="A71" s="11"/>
      <c r="B71" s="9"/>
      <c r="D71" s="11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11"/>
    </row>
    <row r="72" ht="12.75" customHeight="1">
      <c r="A72" s="11"/>
      <c r="B72" s="9"/>
      <c r="D72" s="11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11"/>
    </row>
    <row r="73" ht="12.75" customHeight="1">
      <c r="A73" s="11"/>
      <c r="B73" s="9"/>
      <c r="D73" s="11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11"/>
    </row>
    <row r="74" ht="12.75" customHeight="1">
      <c r="A74" s="11"/>
      <c r="B74" s="9"/>
      <c r="D74" s="11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11"/>
    </row>
    <row r="75" ht="12.75" customHeight="1">
      <c r="A75" s="11"/>
      <c r="B75" s="9"/>
      <c r="D75" s="11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11"/>
    </row>
    <row r="76" ht="12.75" customHeight="1">
      <c r="A76" s="11"/>
      <c r="B76" s="9"/>
      <c r="D76" s="11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11"/>
    </row>
    <row r="77" ht="12.75" customHeight="1">
      <c r="A77" s="11"/>
      <c r="B77" s="9"/>
      <c r="D77" s="11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11"/>
    </row>
    <row r="78" ht="12.75" customHeight="1">
      <c r="A78" s="11"/>
      <c r="B78" s="9"/>
      <c r="D78" s="11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11"/>
    </row>
    <row r="79" ht="12.75" customHeight="1">
      <c r="A79" s="11"/>
      <c r="B79" s="9"/>
      <c r="D79" s="11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11"/>
    </row>
    <row r="80" ht="12.75" customHeight="1">
      <c r="A80" s="11"/>
      <c r="B80" s="9"/>
      <c r="D80" s="11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11"/>
    </row>
    <row r="81" ht="12.75" customHeight="1">
      <c r="A81" s="11"/>
      <c r="B81" s="9"/>
      <c r="D81" s="11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11"/>
    </row>
    <row r="82" ht="12.75" customHeight="1">
      <c r="A82" s="11"/>
      <c r="B82" s="9"/>
      <c r="D82" s="11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11"/>
    </row>
    <row r="83" ht="12.75" customHeight="1">
      <c r="A83" s="11"/>
      <c r="B83" s="9"/>
      <c r="D83" s="11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11"/>
    </row>
    <row r="84" ht="12.75" customHeight="1">
      <c r="A84" s="11"/>
      <c r="B84" s="9"/>
      <c r="D84" s="11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11"/>
    </row>
    <row r="85" ht="12.75" customHeight="1">
      <c r="A85" s="11"/>
      <c r="B85" s="9"/>
      <c r="D85" s="11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11"/>
    </row>
    <row r="86" ht="12.75" customHeight="1">
      <c r="A86" s="11"/>
      <c r="B86" s="9"/>
      <c r="D86" s="11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11"/>
    </row>
    <row r="87" ht="12.75" customHeight="1">
      <c r="A87" s="11"/>
      <c r="B87" s="9"/>
      <c r="D87" s="11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11"/>
    </row>
    <row r="88" ht="12.75" customHeight="1">
      <c r="A88" s="11"/>
      <c r="B88" s="9"/>
      <c r="C88" s="11"/>
      <c r="D88" s="11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11"/>
    </row>
    <row r="89" ht="12.75" customHeight="1">
      <c r="A89" s="11"/>
      <c r="B89" s="9"/>
      <c r="C89" s="11"/>
      <c r="D89" s="11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11"/>
    </row>
    <row r="90" ht="12.75" customHeight="1">
      <c r="A90" s="11"/>
      <c r="B90" s="9"/>
      <c r="C90" s="11"/>
      <c r="D90" s="11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11"/>
    </row>
    <row r="91" ht="12.75" customHeight="1">
      <c r="A91" s="11"/>
      <c r="B91" s="9"/>
      <c r="C91" s="11"/>
      <c r="D91" s="11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11"/>
    </row>
    <row r="92" ht="12.75" customHeight="1">
      <c r="A92" s="11"/>
      <c r="B92" s="9"/>
      <c r="C92" s="11"/>
      <c r="D92" s="11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11"/>
    </row>
    <row r="93" ht="12.75" customHeight="1">
      <c r="A93" s="11"/>
      <c r="B93" s="9"/>
      <c r="C93" s="11"/>
      <c r="D93" s="11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11"/>
    </row>
    <row r="94" ht="12.75" customHeight="1">
      <c r="A94" s="11"/>
      <c r="B94" s="9"/>
      <c r="C94" s="11"/>
      <c r="D94" s="11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11"/>
    </row>
    <row r="95" ht="12.75" customHeight="1">
      <c r="A95" s="11"/>
      <c r="B95" s="9"/>
      <c r="C95" s="11"/>
      <c r="D95" s="11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11"/>
    </row>
    <row r="96" ht="12.75" customHeight="1">
      <c r="A96" s="11"/>
      <c r="B96" s="9"/>
      <c r="C96" s="11"/>
      <c r="D96" s="11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11"/>
    </row>
    <row r="97" ht="12.75" customHeight="1">
      <c r="A97" s="11"/>
      <c r="B97" s="9"/>
      <c r="C97" s="11"/>
      <c r="D97" s="11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11"/>
    </row>
    <row r="98" ht="12.75" customHeight="1">
      <c r="A98" s="11"/>
      <c r="B98" s="9"/>
      <c r="C98" s="11"/>
      <c r="D98" s="11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11"/>
    </row>
    <row r="99" ht="12.75" customHeight="1">
      <c r="A99" s="11"/>
      <c r="B99" s="9"/>
      <c r="C99" s="11"/>
      <c r="D99" s="11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11"/>
    </row>
    <row r="100" ht="12.75" customHeight="1">
      <c r="A100" s="11"/>
      <c r="B100" s="9"/>
      <c r="C100" s="11"/>
      <c r="D100" s="11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11"/>
    </row>
    <row r="101" ht="12.75" customHeight="1">
      <c r="A101" s="11"/>
      <c r="B101" s="9"/>
      <c r="C101" s="11"/>
      <c r="D101" s="11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11"/>
    </row>
    <row r="102" ht="12.75" customHeight="1">
      <c r="A102" s="11"/>
      <c r="B102" s="9"/>
      <c r="C102" s="11"/>
      <c r="D102" s="11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11"/>
    </row>
    <row r="103" ht="12.75" customHeight="1">
      <c r="A103" s="11"/>
      <c r="B103" s="9"/>
      <c r="C103" s="11"/>
      <c r="D103" s="11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11"/>
    </row>
    <row r="104" ht="12.75" customHeight="1">
      <c r="A104" s="11"/>
      <c r="B104" s="9"/>
      <c r="C104" s="11"/>
      <c r="D104" s="11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11"/>
    </row>
    <row r="105" ht="12.75" customHeight="1">
      <c r="A105" s="11"/>
      <c r="B105" s="9"/>
      <c r="C105" s="11"/>
      <c r="D105" s="11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11"/>
    </row>
    <row r="106" ht="12.75" customHeight="1">
      <c r="A106" s="11"/>
      <c r="B106" s="9"/>
      <c r="C106" s="11"/>
      <c r="D106" s="11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11"/>
    </row>
    <row r="107" ht="12.75" customHeight="1">
      <c r="A107" s="11"/>
      <c r="B107" s="9"/>
      <c r="C107" s="11"/>
      <c r="D107" s="11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11"/>
    </row>
    <row r="108" ht="12.75" customHeight="1">
      <c r="A108" s="11"/>
      <c r="B108" s="9"/>
      <c r="C108" s="11"/>
      <c r="D108" s="11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11"/>
    </row>
    <row r="109" ht="12.75" customHeight="1">
      <c r="A109" s="11"/>
      <c r="B109" s="9"/>
      <c r="C109" s="11"/>
      <c r="D109" s="11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11"/>
    </row>
    <row r="110" ht="12.75" customHeight="1">
      <c r="A110" s="11"/>
      <c r="B110" s="9"/>
      <c r="C110" s="11"/>
      <c r="D110" s="11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11"/>
    </row>
    <row r="111" ht="12.75" customHeight="1">
      <c r="A111" s="11"/>
      <c r="B111" s="9"/>
      <c r="C111" s="11"/>
      <c r="D111" s="11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11"/>
    </row>
    <row r="112" ht="12.75" customHeight="1">
      <c r="A112" s="11"/>
      <c r="B112" s="9"/>
      <c r="C112" s="11"/>
      <c r="D112" s="11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11"/>
    </row>
    <row r="113" ht="12.75" customHeight="1">
      <c r="A113" s="11"/>
      <c r="B113" s="9"/>
      <c r="C113" s="11"/>
      <c r="D113" s="11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11"/>
    </row>
    <row r="114" ht="12.75" customHeight="1">
      <c r="A114" s="11"/>
      <c r="B114" s="9"/>
      <c r="C114" s="11"/>
      <c r="D114" s="11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11"/>
    </row>
    <row r="115" ht="12.75" customHeight="1">
      <c r="A115" s="11"/>
      <c r="B115" s="9"/>
      <c r="C115" s="11"/>
      <c r="D115" s="11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11"/>
    </row>
    <row r="116" ht="12.75" customHeight="1">
      <c r="A116" s="11"/>
      <c r="B116" s="9"/>
      <c r="C116" s="11"/>
      <c r="D116" s="11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11"/>
    </row>
    <row r="117" ht="12.75" customHeight="1">
      <c r="A117" s="11"/>
      <c r="B117" s="9"/>
      <c r="C117" s="11"/>
      <c r="D117" s="11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11"/>
    </row>
    <row r="118" ht="12.75" customHeight="1">
      <c r="A118" s="11"/>
      <c r="B118" s="9"/>
      <c r="C118" s="11"/>
      <c r="D118" s="11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11"/>
    </row>
    <row r="119" ht="12.75" customHeight="1">
      <c r="A119" s="11"/>
      <c r="B119" s="9"/>
      <c r="C119" s="11"/>
      <c r="D119" s="11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11"/>
    </row>
    <row r="120" ht="12.75" customHeight="1">
      <c r="A120" s="11"/>
      <c r="B120" s="9"/>
      <c r="C120" s="11"/>
      <c r="D120" s="11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11"/>
    </row>
    <row r="121" ht="12.75" customHeight="1">
      <c r="A121" s="11"/>
      <c r="B121" s="9"/>
      <c r="C121" s="11"/>
      <c r="D121" s="11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11"/>
    </row>
    <row r="122" ht="12.75" customHeight="1">
      <c r="A122" s="11"/>
      <c r="B122" s="9"/>
      <c r="C122" s="11"/>
      <c r="D122" s="11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11"/>
    </row>
    <row r="123" ht="12.75" customHeight="1">
      <c r="A123" s="11"/>
      <c r="B123" s="9"/>
      <c r="C123" s="11"/>
      <c r="D123" s="11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11"/>
    </row>
    <row r="124" ht="12.75" customHeight="1">
      <c r="A124" s="11"/>
      <c r="B124" s="9"/>
      <c r="C124" s="11"/>
      <c r="D124" s="11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11"/>
    </row>
    <row r="125" ht="12.75" customHeight="1">
      <c r="A125" s="11"/>
      <c r="B125" s="9"/>
      <c r="C125" s="11"/>
      <c r="D125" s="11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11"/>
    </row>
    <row r="126" ht="12.75" customHeight="1">
      <c r="A126" s="11"/>
      <c r="B126" s="9"/>
      <c r="C126" s="11"/>
      <c r="D126" s="11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11"/>
    </row>
    <row r="127" ht="12.75" customHeight="1">
      <c r="A127" s="11"/>
      <c r="B127" s="9"/>
      <c r="C127" s="11"/>
      <c r="D127" s="11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11"/>
    </row>
    <row r="128" ht="12.75" customHeight="1">
      <c r="A128" s="11"/>
      <c r="B128" s="9"/>
      <c r="C128" s="11"/>
      <c r="D128" s="11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11"/>
    </row>
    <row r="129" ht="12.75" customHeight="1">
      <c r="A129" s="11"/>
      <c r="B129" s="9"/>
      <c r="C129" s="11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11"/>
    </row>
    <row r="130" ht="12.75" customHeight="1">
      <c r="A130" s="11"/>
      <c r="B130" s="9"/>
      <c r="C130" s="11"/>
      <c r="D130" s="11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11"/>
    </row>
    <row r="131" ht="12.75" customHeight="1">
      <c r="A131" s="11"/>
      <c r="B131" s="9"/>
      <c r="C131" s="11"/>
      <c r="D131" s="11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11"/>
    </row>
    <row r="132" ht="12.75" customHeight="1">
      <c r="A132" s="11"/>
      <c r="B132" s="9"/>
      <c r="C132" s="11"/>
      <c r="D132" s="11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11"/>
    </row>
    <row r="133" ht="12.75" customHeight="1">
      <c r="A133" s="11"/>
      <c r="B133" s="9"/>
      <c r="C133" s="11"/>
      <c r="D133" s="11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11"/>
    </row>
    <row r="134" ht="12.75" customHeight="1">
      <c r="A134" s="11"/>
      <c r="B134" s="9"/>
      <c r="C134" s="11"/>
      <c r="D134" s="11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11"/>
    </row>
    <row r="135" ht="12.75" customHeight="1">
      <c r="A135" s="11"/>
      <c r="B135" s="9"/>
      <c r="C135" s="11"/>
      <c r="D135" s="11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11"/>
    </row>
    <row r="136" ht="12.75" customHeight="1">
      <c r="A136" s="11"/>
      <c r="B136" s="9"/>
      <c r="C136" s="11"/>
      <c r="D136" s="11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11"/>
    </row>
    <row r="137" ht="12.75" customHeight="1">
      <c r="A137" s="11"/>
      <c r="B137" s="9"/>
      <c r="C137" s="11"/>
      <c r="D137" s="11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11"/>
    </row>
    <row r="138" ht="12.75" customHeight="1">
      <c r="A138" s="11"/>
      <c r="B138" s="9"/>
      <c r="C138" s="11"/>
      <c r="D138" s="11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11"/>
    </row>
    <row r="139" ht="12.75" customHeight="1">
      <c r="A139" s="11"/>
      <c r="B139" s="9"/>
      <c r="C139" s="11"/>
      <c r="D139" s="11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11"/>
    </row>
    <row r="140" ht="12.75" customHeight="1">
      <c r="A140" s="11"/>
      <c r="B140" s="9"/>
      <c r="C140" s="11"/>
      <c r="D140" s="11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11"/>
    </row>
    <row r="141" ht="12.75" customHeight="1">
      <c r="A141" s="11"/>
      <c r="B141" s="9"/>
      <c r="C141" s="11"/>
      <c r="D141" s="11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11"/>
    </row>
    <row r="142" ht="12.75" customHeight="1">
      <c r="A142" s="11"/>
      <c r="B142" s="9"/>
      <c r="C142" s="11"/>
      <c r="D142" s="11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11"/>
    </row>
    <row r="143" ht="12.75" customHeight="1">
      <c r="A143" s="11"/>
      <c r="B143" s="9"/>
      <c r="C143" s="11"/>
      <c r="D143" s="11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11"/>
    </row>
    <row r="144" ht="12.75" customHeight="1">
      <c r="A144" s="11"/>
      <c r="B144" s="9"/>
      <c r="C144" s="11"/>
      <c r="D144" s="11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11"/>
    </row>
    <row r="145" ht="12.75" customHeight="1">
      <c r="A145" s="11"/>
      <c r="B145" s="9"/>
      <c r="C145" s="11"/>
      <c r="D145" s="11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11"/>
    </row>
    <row r="146" ht="12.75" customHeight="1">
      <c r="A146" s="11"/>
      <c r="B146" s="9"/>
      <c r="C146" s="11"/>
      <c r="D146" s="11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11"/>
    </row>
    <row r="147" ht="12.75" customHeight="1">
      <c r="A147" s="11"/>
      <c r="B147" s="9"/>
      <c r="C147" s="11"/>
      <c r="D147" s="11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11"/>
    </row>
    <row r="148" ht="12.75" customHeight="1">
      <c r="A148" s="11"/>
      <c r="B148" s="9"/>
      <c r="C148" s="11"/>
      <c r="D148" s="11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11"/>
    </row>
    <row r="149" ht="12.75" customHeight="1">
      <c r="A149" s="11"/>
      <c r="B149" s="9"/>
      <c r="C149" s="11"/>
      <c r="D149" s="11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11"/>
    </row>
    <row r="150" ht="12.75" customHeight="1">
      <c r="A150" s="11"/>
      <c r="B150" s="9"/>
      <c r="C150" s="11"/>
      <c r="D150" s="11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11"/>
    </row>
    <row r="151" ht="12.75" customHeight="1">
      <c r="A151" s="11"/>
      <c r="B151" s="9"/>
      <c r="C151" s="11"/>
      <c r="D151" s="11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11"/>
    </row>
    <row r="152" ht="12.75" customHeight="1">
      <c r="A152" s="11"/>
      <c r="B152" s="9"/>
      <c r="C152" s="11"/>
      <c r="D152" s="11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11"/>
    </row>
    <row r="153" ht="12.75" customHeight="1">
      <c r="A153" s="11"/>
      <c r="B153" s="9"/>
      <c r="C153" s="11"/>
      <c r="D153" s="11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11"/>
    </row>
    <row r="154" ht="12.75" customHeight="1">
      <c r="A154" s="11"/>
      <c r="B154" s="9"/>
      <c r="C154" s="11"/>
      <c r="D154" s="11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11"/>
    </row>
    <row r="155" ht="12.75" customHeight="1">
      <c r="A155" s="11"/>
      <c r="B155" s="9"/>
      <c r="C155" s="11"/>
      <c r="D155" s="11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11"/>
    </row>
    <row r="156" ht="12.75" customHeight="1">
      <c r="A156" s="11"/>
      <c r="B156" s="9"/>
      <c r="C156" s="11"/>
      <c r="D156" s="11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11"/>
    </row>
    <row r="157" ht="12.75" customHeight="1">
      <c r="A157" s="11"/>
      <c r="B157" s="9"/>
      <c r="C157" s="11"/>
      <c r="D157" s="11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11"/>
    </row>
    <row r="158" ht="12.75" customHeight="1">
      <c r="A158" s="11"/>
      <c r="B158" s="9"/>
      <c r="C158" s="11"/>
      <c r="D158" s="11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11"/>
    </row>
    <row r="159" ht="12.75" customHeight="1">
      <c r="A159" s="11"/>
      <c r="B159" s="9"/>
      <c r="C159" s="11"/>
      <c r="D159" s="11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11"/>
    </row>
    <row r="160" ht="12.75" customHeight="1">
      <c r="A160" s="11"/>
      <c r="B160" s="9"/>
      <c r="C160" s="11"/>
      <c r="D160" s="11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11"/>
    </row>
    <row r="161" ht="12.75" customHeight="1">
      <c r="A161" s="11"/>
      <c r="B161" s="9"/>
      <c r="C161" s="11"/>
      <c r="D161" s="11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11"/>
    </row>
    <row r="162" ht="12.75" customHeight="1">
      <c r="A162" s="11"/>
      <c r="B162" s="9"/>
      <c r="C162" s="11"/>
      <c r="D162" s="11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11"/>
    </row>
    <row r="163" ht="12.75" customHeight="1">
      <c r="A163" s="11"/>
      <c r="B163" s="9"/>
      <c r="C163" s="11"/>
      <c r="D163" s="11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11"/>
    </row>
    <row r="164" ht="12.75" customHeight="1">
      <c r="A164" s="11"/>
      <c r="B164" s="9"/>
      <c r="C164" s="11"/>
      <c r="D164" s="11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11"/>
    </row>
    <row r="165" ht="12.75" customHeight="1">
      <c r="A165" s="11"/>
      <c r="B165" s="9"/>
      <c r="C165" s="11"/>
      <c r="D165" s="11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11"/>
    </row>
    <row r="166" ht="12.75" customHeight="1">
      <c r="A166" s="11"/>
      <c r="B166" s="9"/>
      <c r="C166" s="11"/>
      <c r="D166" s="11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11"/>
    </row>
    <row r="167" ht="12.75" customHeight="1">
      <c r="A167" s="11"/>
      <c r="B167" s="9"/>
      <c r="C167" s="11"/>
      <c r="D167" s="11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11"/>
    </row>
    <row r="168" ht="12.75" customHeight="1">
      <c r="A168" s="11"/>
      <c r="B168" s="9"/>
      <c r="C168" s="11"/>
      <c r="D168" s="11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11"/>
    </row>
    <row r="169" ht="12.75" customHeight="1">
      <c r="A169" s="11"/>
      <c r="B169" s="9"/>
      <c r="C169" s="11"/>
      <c r="D169" s="11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11"/>
    </row>
    <row r="170" ht="12.75" customHeight="1">
      <c r="A170" s="11"/>
      <c r="B170" s="9"/>
      <c r="C170" s="11"/>
      <c r="D170" s="11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11"/>
    </row>
    <row r="171" ht="12.75" customHeight="1">
      <c r="A171" s="11"/>
      <c r="B171" s="9"/>
      <c r="C171" s="11"/>
      <c r="D171" s="11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11"/>
    </row>
    <row r="172" ht="12.75" customHeight="1">
      <c r="A172" s="11"/>
      <c r="B172" s="9"/>
      <c r="C172" s="11"/>
      <c r="D172" s="11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11"/>
    </row>
    <row r="173" ht="12.75" customHeight="1">
      <c r="A173" s="11"/>
      <c r="B173" s="9"/>
      <c r="C173" s="11"/>
      <c r="D173" s="11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11"/>
    </row>
    <row r="174" ht="12.75" customHeight="1">
      <c r="A174" s="11"/>
      <c r="B174" s="9"/>
      <c r="C174" s="11"/>
      <c r="D174" s="11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11"/>
    </row>
    <row r="175" ht="12.75" customHeight="1">
      <c r="A175" s="11"/>
      <c r="B175" s="9"/>
      <c r="C175" s="11"/>
      <c r="D175" s="11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11"/>
    </row>
    <row r="176" ht="12.75" customHeight="1">
      <c r="A176" s="11"/>
      <c r="B176" s="9"/>
      <c r="C176" s="11"/>
      <c r="D176" s="11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11"/>
    </row>
    <row r="177" ht="12.75" customHeight="1">
      <c r="A177" s="11"/>
      <c r="B177" s="9"/>
      <c r="C177" s="11"/>
      <c r="D177" s="11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11"/>
    </row>
    <row r="178" ht="12.75" customHeight="1">
      <c r="A178" s="11"/>
      <c r="B178" s="9"/>
      <c r="C178" s="11"/>
      <c r="D178" s="11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11"/>
    </row>
    <row r="179" ht="12.75" customHeight="1">
      <c r="A179" s="11"/>
      <c r="B179" s="9"/>
      <c r="C179" s="11"/>
      <c r="D179" s="11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11"/>
    </row>
    <row r="180" ht="12.75" customHeight="1">
      <c r="A180" s="11"/>
      <c r="B180" s="9"/>
      <c r="C180" s="11"/>
      <c r="D180" s="11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11"/>
    </row>
    <row r="181" ht="12.75" customHeight="1">
      <c r="A181" s="11"/>
      <c r="B181" s="9"/>
      <c r="C181" s="11"/>
      <c r="D181" s="11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11"/>
    </row>
    <row r="182" ht="12.75" customHeight="1">
      <c r="A182" s="11"/>
      <c r="B182" s="9"/>
      <c r="C182" s="11"/>
      <c r="D182" s="11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11"/>
    </row>
    <row r="183" ht="12.75" customHeight="1">
      <c r="A183" s="11"/>
      <c r="B183" s="9"/>
      <c r="C183" s="11"/>
      <c r="D183" s="11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11"/>
    </row>
    <row r="184" ht="12.75" customHeight="1">
      <c r="A184" s="11"/>
      <c r="B184" s="9"/>
      <c r="C184" s="11"/>
      <c r="D184" s="11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11"/>
    </row>
    <row r="185" ht="12.75" customHeight="1">
      <c r="A185" s="11"/>
      <c r="B185" s="9"/>
      <c r="C185" s="11"/>
      <c r="D185" s="11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11"/>
    </row>
    <row r="186" ht="12.75" customHeight="1">
      <c r="A186" s="11"/>
      <c r="B186" s="9"/>
      <c r="C186" s="11"/>
      <c r="D186" s="11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11"/>
    </row>
    <row r="187" ht="12.75" customHeight="1">
      <c r="A187" s="11"/>
      <c r="B187" s="9"/>
      <c r="C187" s="11"/>
      <c r="D187" s="11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11"/>
    </row>
    <row r="188" ht="12.75" customHeight="1">
      <c r="A188" s="11"/>
      <c r="B188" s="9"/>
      <c r="C188" s="11"/>
      <c r="D188" s="11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11"/>
    </row>
    <row r="189" ht="12.75" customHeight="1">
      <c r="A189" s="11"/>
      <c r="B189" s="9"/>
      <c r="C189" s="11"/>
      <c r="D189" s="11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11"/>
    </row>
    <row r="190" ht="12.75" customHeight="1">
      <c r="A190" s="11"/>
      <c r="B190" s="9"/>
      <c r="C190" s="11"/>
      <c r="D190" s="11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11"/>
    </row>
    <row r="191" ht="12.75" customHeight="1">
      <c r="A191" s="11"/>
      <c r="B191" s="9"/>
      <c r="C191" s="11"/>
      <c r="D191" s="11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11"/>
    </row>
    <row r="192" ht="12.75" customHeight="1">
      <c r="A192" s="11"/>
      <c r="B192" s="9"/>
      <c r="C192" s="11"/>
      <c r="D192" s="11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11"/>
    </row>
    <row r="193" ht="12.75" customHeight="1">
      <c r="A193" s="11"/>
      <c r="B193" s="9"/>
      <c r="C193" s="11"/>
      <c r="D193" s="11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11"/>
    </row>
    <row r="194" ht="12.75" customHeight="1">
      <c r="A194" s="11"/>
      <c r="B194" s="9"/>
      <c r="C194" s="11"/>
      <c r="D194" s="11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11"/>
    </row>
    <row r="195" ht="12.75" customHeight="1">
      <c r="A195" s="11"/>
      <c r="B195" s="9"/>
      <c r="C195" s="11"/>
      <c r="D195" s="11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11"/>
    </row>
    <row r="196" ht="12.75" customHeight="1">
      <c r="A196" s="11"/>
      <c r="B196" s="9"/>
      <c r="C196" s="11"/>
      <c r="D196" s="11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11"/>
    </row>
    <row r="197" ht="12.75" customHeight="1">
      <c r="A197" s="11"/>
      <c r="B197" s="9"/>
      <c r="C197" s="11"/>
      <c r="D197" s="11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11"/>
    </row>
    <row r="198" ht="12.75" customHeight="1">
      <c r="A198" s="11"/>
      <c r="B198" s="9"/>
      <c r="C198" s="11"/>
      <c r="D198" s="11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11"/>
    </row>
    <row r="199" ht="12.75" customHeight="1">
      <c r="A199" s="11"/>
      <c r="B199" s="9"/>
      <c r="C199" s="11"/>
      <c r="D199" s="11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11"/>
    </row>
    <row r="200" ht="12.75" customHeight="1">
      <c r="A200" s="11"/>
      <c r="B200" s="9"/>
      <c r="C200" s="11"/>
      <c r="D200" s="11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11"/>
    </row>
    <row r="201" ht="12.75" customHeight="1">
      <c r="A201" s="11"/>
      <c r="B201" s="9"/>
      <c r="C201" s="11"/>
      <c r="D201" s="11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11"/>
    </row>
    <row r="202" ht="12.75" customHeight="1">
      <c r="A202" s="11"/>
      <c r="B202" s="9"/>
      <c r="C202" s="11"/>
      <c r="D202" s="11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11"/>
    </row>
    <row r="203" ht="12.75" customHeight="1">
      <c r="A203" s="11"/>
      <c r="B203" s="9"/>
      <c r="C203" s="11"/>
      <c r="D203" s="11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11"/>
    </row>
    <row r="204" ht="12.75" customHeight="1">
      <c r="A204" s="11"/>
      <c r="B204" s="9"/>
      <c r="C204" s="11"/>
      <c r="D204" s="11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11"/>
    </row>
    <row r="205" ht="12.75" customHeight="1">
      <c r="A205" s="11"/>
      <c r="B205" s="9"/>
      <c r="C205" s="11"/>
      <c r="D205" s="11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11"/>
    </row>
    <row r="206" ht="12.75" customHeight="1">
      <c r="A206" s="11"/>
      <c r="B206" s="9"/>
      <c r="C206" s="11"/>
      <c r="D206" s="11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11"/>
    </row>
    <row r="207" ht="12.75" customHeight="1">
      <c r="A207" s="11"/>
      <c r="B207" s="9"/>
      <c r="C207" s="11"/>
      <c r="D207" s="11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11"/>
    </row>
    <row r="208" ht="12.75" customHeight="1">
      <c r="A208" s="11"/>
      <c r="B208" s="9"/>
      <c r="C208" s="11"/>
      <c r="D208" s="11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11"/>
    </row>
    <row r="209" ht="12.75" customHeight="1">
      <c r="A209" s="11"/>
      <c r="B209" s="9"/>
      <c r="C209" s="11"/>
      <c r="D209" s="11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11"/>
    </row>
    <row r="210" ht="12.75" customHeight="1">
      <c r="A210" s="11"/>
      <c r="B210" s="9"/>
      <c r="C210" s="11"/>
      <c r="D210" s="11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11"/>
    </row>
    <row r="211" ht="12.75" customHeight="1">
      <c r="A211" s="11"/>
      <c r="B211" s="9"/>
      <c r="C211" s="11"/>
      <c r="D211" s="11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11"/>
    </row>
    <row r="212" ht="12.75" customHeight="1">
      <c r="A212" s="11"/>
      <c r="B212" s="9"/>
      <c r="C212" s="11"/>
      <c r="D212" s="11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11"/>
    </row>
    <row r="213" ht="12.75" customHeight="1">
      <c r="A213" s="11"/>
      <c r="B213" s="9"/>
      <c r="C213" s="11"/>
      <c r="D213" s="11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11"/>
    </row>
    <row r="214" ht="12.75" customHeight="1">
      <c r="A214" s="11"/>
      <c r="B214" s="9"/>
      <c r="C214" s="11"/>
      <c r="D214" s="11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11"/>
    </row>
    <row r="215" ht="12.75" customHeight="1">
      <c r="A215" s="11"/>
      <c r="B215" s="9"/>
      <c r="C215" s="11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11"/>
    </row>
    <row r="216" ht="12.75" customHeight="1">
      <c r="A216" s="11"/>
      <c r="B216" s="9"/>
      <c r="C216" s="11"/>
      <c r="D216" s="11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11"/>
    </row>
    <row r="217" ht="12.75" customHeight="1">
      <c r="A217" s="11"/>
      <c r="B217" s="9"/>
      <c r="C217" s="11"/>
      <c r="D217" s="11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11"/>
    </row>
    <row r="218" ht="12.75" customHeight="1">
      <c r="A218" s="11"/>
      <c r="B218" s="9"/>
      <c r="C218" s="11"/>
      <c r="D218" s="11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11"/>
    </row>
    <row r="219" ht="12.75" customHeight="1">
      <c r="A219" s="11"/>
      <c r="B219" s="9"/>
      <c r="C219" s="11"/>
      <c r="D219" s="11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11"/>
    </row>
    <row r="220" ht="12.75" customHeight="1">
      <c r="A220" s="11"/>
      <c r="B220" s="9"/>
      <c r="C220" s="11"/>
      <c r="D220" s="11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11"/>
    </row>
    <row r="221" ht="12.75" customHeight="1">
      <c r="A221" s="11"/>
      <c r="B221" s="9"/>
      <c r="C221" s="11"/>
      <c r="D221" s="11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11"/>
    </row>
    <row r="222" ht="12.75" customHeight="1">
      <c r="A222" s="11"/>
      <c r="B222" s="9"/>
      <c r="C222" s="11"/>
      <c r="D222" s="11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11"/>
    </row>
    <row r="223" ht="12.75" customHeight="1">
      <c r="A223" s="11"/>
      <c r="B223" s="9"/>
      <c r="C223" s="11"/>
      <c r="D223" s="11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11"/>
    </row>
    <row r="224" ht="12.75" customHeight="1">
      <c r="A224" s="11"/>
      <c r="B224" s="9"/>
      <c r="C224" s="11"/>
      <c r="D224" s="11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11"/>
    </row>
    <row r="225" ht="12.75" customHeight="1">
      <c r="A225" s="11"/>
      <c r="B225" s="9"/>
      <c r="C225" s="11"/>
      <c r="D225" s="11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11"/>
    </row>
    <row r="226" ht="12.75" customHeight="1">
      <c r="A226" s="11"/>
      <c r="B226" s="9"/>
      <c r="C226" s="11"/>
      <c r="D226" s="11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11"/>
    </row>
    <row r="227" ht="12.75" customHeight="1">
      <c r="A227" s="11"/>
      <c r="B227" s="9"/>
      <c r="C227" s="11"/>
      <c r="D227" s="11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11"/>
    </row>
    <row r="228" ht="12.75" customHeight="1">
      <c r="A228" s="11"/>
      <c r="B228" s="9"/>
      <c r="C228" s="11"/>
      <c r="D228" s="11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11"/>
    </row>
    <row r="229" ht="12.75" customHeight="1">
      <c r="A229" s="11"/>
      <c r="B229" s="9"/>
      <c r="C229" s="11"/>
      <c r="D229" s="11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11"/>
    </row>
    <row r="230" ht="12.75" customHeight="1">
      <c r="A230" s="11"/>
      <c r="B230" s="9"/>
      <c r="C230" s="11"/>
      <c r="D230" s="11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11"/>
    </row>
    <row r="231" ht="12.75" customHeight="1">
      <c r="A231" s="11"/>
      <c r="B231" s="9"/>
      <c r="C231" s="11"/>
      <c r="D231" s="11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11"/>
    </row>
    <row r="232" ht="12.75" customHeight="1">
      <c r="A232" s="11"/>
      <c r="B232" s="9"/>
      <c r="C232" s="11"/>
      <c r="D232" s="11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11"/>
    </row>
    <row r="233" ht="12.75" customHeight="1">
      <c r="A233" s="11"/>
      <c r="B233" s="9"/>
      <c r="C233" s="11"/>
      <c r="D233" s="11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11"/>
    </row>
    <row r="234" ht="12.75" customHeight="1">
      <c r="A234" s="11"/>
      <c r="B234" s="9"/>
      <c r="C234" s="11"/>
      <c r="D234" s="11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11"/>
    </row>
    <row r="235" ht="12.75" customHeight="1">
      <c r="A235" s="11"/>
      <c r="B235" s="9"/>
      <c r="C235" s="11"/>
      <c r="D235" s="11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11"/>
    </row>
    <row r="236" ht="12.75" customHeight="1">
      <c r="A236" s="11"/>
      <c r="B236" s="9"/>
      <c r="C236" s="11"/>
      <c r="D236" s="11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11"/>
    </row>
    <row r="237" ht="12.75" customHeight="1">
      <c r="A237" s="11"/>
      <c r="B237" s="9"/>
      <c r="C237" s="11"/>
      <c r="D237" s="11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11"/>
    </row>
    <row r="238" ht="12.75" customHeight="1">
      <c r="A238" s="11"/>
      <c r="B238" s="9"/>
      <c r="C238" s="11"/>
      <c r="D238" s="11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11"/>
    </row>
    <row r="239" ht="12.75" customHeight="1">
      <c r="A239" s="11"/>
      <c r="B239" s="9"/>
      <c r="C239" s="11"/>
      <c r="D239" s="11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11"/>
    </row>
    <row r="240" ht="12.75" customHeight="1">
      <c r="A240" s="11"/>
      <c r="B240" s="9"/>
      <c r="C240" s="11"/>
      <c r="D240" s="11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11"/>
    </row>
    <row r="241" ht="12.75" customHeight="1">
      <c r="A241" s="11"/>
      <c r="B241" s="9"/>
      <c r="C241" s="11"/>
      <c r="D241" s="11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11"/>
    </row>
    <row r="242" ht="12.75" customHeight="1">
      <c r="A242" s="11"/>
      <c r="B242" s="9"/>
      <c r="C242" s="11"/>
      <c r="D242" s="11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11"/>
    </row>
    <row r="243" ht="12.75" customHeight="1">
      <c r="A243" s="11"/>
      <c r="B243" s="9"/>
      <c r="C243" s="11"/>
      <c r="D243" s="11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11"/>
    </row>
    <row r="244" ht="12.75" customHeight="1">
      <c r="A244" s="11"/>
      <c r="B244" s="9"/>
      <c r="C244" s="11"/>
      <c r="D244" s="11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11"/>
    </row>
    <row r="245" ht="12.75" customHeight="1">
      <c r="A245" s="11"/>
      <c r="B245" s="9"/>
      <c r="C245" s="11"/>
      <c r="D245" s="11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11"/>
    </row>
    <row r="246" ht="12.75" customHeight="1">
      <c r="A246" s="11"/>
      <c r="B246" s="9"/>
      <c r="C246" s="11"/>
      <c r="D246" s="11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11"/>
    </row>
    <row r="247" ht="12.75" customHeight="1">
      <c r="A247" s="11"/>
      <c r="B247" s="9"/>
      <c r="C247" s="11"/>
      <c r="D247" s="11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11"/>
    </row>
    <row r="248" ht="12.75" customHeight="1">
      <c r="A248" s="11"/>
      <c r="B248" s="9"/>
      <c r="C248" s="11"/>
      <c r="D248" s="11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11"/>
    </row>
    <row r="249" ht="12.75" customHeight="1">
      <c r="A249" s="11"/>
      <c r="B249" s="9"/>
      <c r="C249" s="11"/>
      <c r="D249" s="11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11"/>
    </row>
    <row r="250" ht="12.75" customHeight="1">
      <c r="A250" s="11"/>
      <c r="B250" s="9"/>
      <c r="C250" s="11"/>
      <c r="D250" s="11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11"/>
    </row>
    <row r="251" ht="12.75" customHeight="1">
      <c r="A251" s="11"/>
      <c r="B251" s="9"/>
      <c r="C251" s="11"/>
      <c r="D251" s="11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11"/>
    </row>
    <row r="252" ht="12.75" customHeight="1">
      <c r="A252" s="11"/>
      <c r="B252" s="9"/>
      <c r="C252" s="11"/>
      <c r="D252" s="11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11"/>
    </row>
    <row r="253" ht="12.75" customHeight="1">
      <c r="A253" s="11"/>
      <c r="B253" s="9"/>
      <c r="C253" s="11"/>
      <c r="D253" s="11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11"/>
    </row>
    <row r="254" ht="12.75" customHeight="1">
      <c r="A254" s="11"/>
      <c r="B254" s="9"/>
      <c r="C254" s="11"/>
      <c r="D254" s="11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11"/>
    </row>
    <row r="255" ht="12.75" customHeight="1">
      <c r="A255" s="11"/>
      <c r="B255" s="9"/>
      <c r="C255" s="11"/>
      <c r="D255" s="11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11"/>
    </row>
    <row r="256" ht="12.75" customHeight="1">
      <c r="A256" s="11"/>
      <c r="B256" s="9"/>
      <c r="C256" s="11"/>
      <c r="D256" s="11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11"/>
    </row>
    <row r="257" ht="12.75" customHeight="1">
      <c r="A257" s="11"/>
      <c r="B257" s="9"/>
      <c r="C257" s="11"/>
      <c r="D257" s="11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11"/>
    </row>
    <row r="258" ht="12.75" customHeight="1">
      <c r="A258" s="11"/>
      <c r="B258" s="9"/>
      <c r="C258" s="11"/>
      <c r="D258" s="11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11"/>
    </row>
    <row r="259" ht="12.75" customHeight="1">
      <c r="A259" s="11"/>
      <c r="B259" s="9"/>
      <c r="C259" s="11"/>
      <c r="D259" s="11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11"/>
    </row>
    <row r="260" ht="12.75" customHeight="1">
      <c r="A260" s="11"/>
      <c r="B260" s="9"/>
      <c r="C260" s="11"/>
      <c r="D260" s="11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11"/>
    </row>
    <row r="261" ht="12.75" customHeight="1">
      <c r="A261" s="11"/>
      <c r="B261" s="9"/>
      <c r="C261" s="11"/>
      <c r="D261" s="11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11"/>
    </row>
    <row r="262" ht="12.75" customHeight="1">
      <c r="A262" s="11"/>
      <c r="B262" s="9"/>
      <c r="C262" s="11"/>
      <c r="D262" s="11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11"/>
    </row>
    <row r="263" ht="12.75" customHeight="1">
      <c r="A263" s="11"/>
      <c r="B263" s="9"/>
      <c r="C263" s="11"/>
      <c r="D263" s="11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11"/>
    </row>
    <row r="264" ht="12.75" customHeight="1">
      <c r="A264" s="11"/>
      <c r="B264" s="9"/>
      <c r="C264" s="11"/>
      <c r="D264" s="11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11"/>
    </row>
    <row r="265" ht="12.75" customHeight="1">
      <c r="A265" s="11"/>
      <c r="B265" s="9"/>
      <c r="C265" s="11"/>
      <c r="D265" s="11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11"/>
    </row>
    <row r="266" ht="12.75" customHeight="1">
      <c r="A266" s="11"/>
      <c r="B266" s="9"/>
      <c r="C266" s="11"/>
      <c r="D266" s="11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11"/>
    </row>
    <row r="267" ht="12.75" customHeight="1">
      <c r="A267" s="11"/>
      <c r="B267" s="9"/>
      <c r="C267" s="11"/>
      <c r="D267" s="11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11"/>
    </row>
    <row r="268" ht="12.75" customHeight="1">
      <c r="A268" s="11"/>
      <c r="B268" s="9"/>
      <c r="C268" s="11"/>
      <c r="D268" s="11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11"/>
    </row>
    <row r="269" ht="12.75" customHeight="1">
      <c r="A269" s="11"/>
      <c r="B269" s="9"/>
      <c r="C269" s="11"/>
      <c r="D269" s="11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11"/>
    </row>
    <row r="270" ht="12.75" customHeight="1">
      <c r="A270" s="11"/>
      <c r="B270" s="9"/>
      <c r="C270" s="11"/>
      <c r="D270" s="11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11"/>
    </row>
    <row r="271" ht="12.75" customHeight="1">
      <c r="A271" s="11"/>
      <c r="B271" s="9"/>
      <c r="C271" s="11"/>
      <c r="D271" s="11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11"/>
    </row>
    <row r="272" ht="12.75" customHeight="1">
      <c r="A272" s="11"/>
      <c r="B272" s="9"/>
      <c r="C272" s="11"/>
      <c r="D272" s="11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11"/>
    </row>
    <row r="273" ht="12.75" customHeight="1">
      <c r="A273" s="11"/>
      <c r="B273" s="9"/>
      <c r="C273" s="11"/>
      <c r="D273" s="11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11"/>
    </row>
    <row r="274" ht="12.75" customHeight="1">
      <c r="A274" s="11"/>
      <c r="B274" s="9"/>
      <c r="C274" s="11"/>
      <c r="D274" s="11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11"/>
    </row>
    <row r="275" ht="12.75" customHeight="1">
      <c r="A275" s="11"/>
      <c r="B275" s="9"/>
      <c r="C275" s="11"/>
      <c r="D275" s="11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11"/>
    </row>
    <row r="276" ht="12.75" customHeight="1">
      <c r="A276" s="11"/>
      <c r="B276" s="9"/>
      <c r="C276" s="11"/>
      <c r="D276" s="11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11"/>
    </row>
    <row r="277" ht="12.75" customHeight="1">
      <c r="A277" s="11"/>
      <c r="B277" s="9"/>
      <c r="C277" s="11"/>
      <c r="D277" s="11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11"/>
    </row>
    <row r="278" ht="12.75" customHeight="1">
      <c r="A278" s="11"/>
      <c r="B278" s="9"/>
      <c r="C278" s="11"/>
      <c r="D278" s="11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11"/>
    </row>
    <row r="279" ht="12.75" customHeight="1">
      <c r="A279" s="11"/>
      <c r="B279" s="9"/>
      <c r="C279" s="11"/>
      <c r="D279" s="11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11"/>
    </row>
    <row r="280" ht="12.75" customHeight="1">
      <c r="A280" s="11"/>
      <c r="B280" s="9"/>
      <c r="C280" s="11"/>
      <c r="D280" s="11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11"/>
    </row>
    <row r="281" ht="12.75" customHeight="1">
      <c r="A281" s="11"/>
      <c r="B281" s="9"/>
      <c r="C281" s="11"/>
      <c r="D281" s="11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11"/>
    </row>
    <row r="282" ht="12.75" customHeight="1">
      <c r="A282" s="11"/>
      <c r="B282" s="9"/>
      <c r="C282" s="11"/>
      <c r="D282" s="11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11"/>
    </row>
    <row r="283" ht="12.75" customHeight="1">
      <c r="A283" s="11"/>
      <c r="B283" s="9"/>
      <c r="C283" s="11"/>
      <c r="D283" s="11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11"/>
    </row>
    <row r="284" ht="12.75" customHeight="1">
      <c r="A284" s="11"/>
      <c r="B284" s="9"/>
      <c r="C284" s="11"/>
      <c r="D284" s="11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11"/>
    </row>
    <row r="285" ht="12.75" customHeight="1">
      <c r="A285" s="11"/>
      <c r="B285" s="9"/>
      <c r="C285" s="11"/>
      <c r="D285" s="11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11"/>
    </row>
    <row r="286" ht="12.75" customHeight="1">
      <c r="A286" s="11"/>
      <c r="B286" s="9"/>
      <c r="C286" s="11"/>
      <c r="D286" s="11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11"/>
    </row>
    <row r="287" ht="12.75" customHeight="1">
      <c r="A287" s="11"/>
      <c r="B287" s="9"/>
      <c r="C287" s="11"/>
      <c r="D287" s="11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11"/>
    </row>
    <row r="288" ht="12.75" customHeight="1">
      <c r="A288" s="11"/>
      <c r="B288" s="9"/>
      <c r="C288" s="11"/>
      <c r="D288" s="11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11"/>
    </row>
    <row r="289" ht="12.75" customHeight="1">
      <c r="A289" s="11"/>
      <c r="B289" s="9"/>
      <c r="C289" s="11"/>
      <c r="D289" s="11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11"/>
    </row>
    <row r="290" ht="12.75" customHeight="1">
      <c r="A290" s="11"/>
      <c r="B290" s="9"/>
      <c r="C290" s="11"/>
      <c r="D290" s="11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11"/>
    </row>
    <row r="291" ht="12.75" customHeight="1">
      <c r="A291" s="11"/>
      <c r="B291" s="9"/>
      <c r="C291" s="11"/>
      <c r="D291" s="11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11"/>
    </row>
    <row r="292" ht="12.75" customHeight="1">
      <c r="A292" s="11"/>
      <c r="B292" s="9"/>
      <c r="C292" s="11"/>
      <c r="D292" s="11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11"/>
    </row>
    <row r="293" ht="12.75" customHeight="1">
      <c r="A293" s="11"/>
      <c r="B293" s="9"/>
      <c r="C293" s="11"/>
      <c r="D293" s="11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11"/>
    </row>
    <row r="294" ht="12.75" customHeight="1">
      <c r="A294" s="11"/>
      <c r="B294" s="9"/>
      <c r="C294" s="11"/>
      <c r="D294" s="11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11"/>
    </row>
    <row r="295" ht="12.75" customHeight="1">
      <c r="A295" s="11"/>
      <c r="B295" s="9"/>
      <c r="C295" s="11"/>
      <c r="D295" s="11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11"/>
    </row>
    <row r="296" ht="12.75" customHeight="1">
      <c r="A296" s="11"/>
      <c r="B296" s="9"/>
      <c r="C296" s="11"/>
      <c r="D296" s="11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11"/>
    </row>
    <row r="297" ht="12.75" customHeight="1">
      <c r="A297" s="11"/>
      <c r="B297" s="9"/>
      <c r="C297" s="11"/>
      <c r="D297" s="11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11"/>
    </row>
    <row r="298" ht="12.75" customHeight="1">
      <c r="A298" s="11"/>
      <c r="B298" s="9"/>
      <c r="C298" s="11"/>
      <c r="D298" s="11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11"/>
    </row>
    <row r="299" ht="12.75" customHeight="1">
      <c r="A299" s="11"/>
      <c r="B299" s="9"/>
      <c r="C299" s="11"/>
      <c r="D299" s="11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11"/>
    </row>
    <row r="300" ht="12.75" customHeight="1">
      <c r="A300" s="11"/>
      <c r="B300" s="9"/>
      <c r="C300" s="11"/>
      <c r="D300" s="11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11"/>
    </row>
    <row r="301" ht="12.75" customHeight="1">
      <c r="A301" s="11"/>
      <c r="B301" s="9"/>
      <c r="C301" s="11"/>
      <c r="D301" s="11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11"/>
    </row>
    <row r="302" ht="12.75" customHeight="1">
      <c r="A302" s="11"/>
      <c r="B302" s="9"/>
      <c r="C302" s="11"/>
      <c r="D302" s="11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11"/>
    </row>
    <row r="303" ht="12.75" customHeight="1">
      <c r="A303" s="11"/>
      <c r="B303" s="9"/>
      <c r="C303" s="11"/>
      <c r="D303" s="11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11"/>
    </row>
    <row r="304" ht="12.75" customHeight="1">
      <c r="A304" s="11"/>
      <c r="B304" s="9"/>
      <c r="C304" s="11"/>
      <c r="D304" s="11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11"/>
    </row>
    <row r="305" ht="12.75" customHeight="1">
      <c r="A305" s="11"/>
      <c r="B305" s="9"/>
      <c r="C305" s="11"/>
      <c r="D305" s="11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11"/>
    </row>
    <row r="306" ht="12.75" customHeight="1">
      <c r="A306" s="11"/>
      <c r="B306" s="9"/>
      <c r="C306" s="11"/>
      <c r="D306" s="11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11"/>
    </row>
    <row r="307" ht="12.75" customHeight="1">
      <c r="A307" s="11"/>
      <c r="B307" s="9"/>
      <c r="C307" s="11"/>
      <c r="D307" s="11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11"/>
    </row>
    <row r="308" ht="12.75" customHeight="1">
      <c r="A308" s="11"/>
      <c r="B308" s="9"/>
      <c r="C308" s="11"/>
      <c r="D308" s="11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11"/>
    </row>
    <row r="309" ht="12.75" customHeight="1">
      <c r="A309" s="11"/>
      <c r="B309" s="9"/>
      <c r="C309" s="11"/>
      <c r="D309" s="11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11"/>
    </row>
    <row r="310" ht="12.75" customHeight="1">
      <c r="A310" s="11"/>
      <c r="B310" s="9"/>
      <c r="C310" s="11"/>
      <c r="D310" s="11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11"/>
    </row>
    <row r="311" ht="12.75" customHeight="1">
      <c r="A311" s="11"/>
      <c r="B311" s="9"/>
      <c r="C311" s="11"/>
      <c r="D311" s="11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11"/>
    </row>
    <row r="312" ht="12.75" customHeight="1">
      <c r="A312" s="11"/>
      <c r="B312" s="9"/>
      <c r="C312" s="11"/>
      <c r="D312" s="11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11"/>
    </row>
    <row r="313" ht="12.75" customHeight="1">
      <c r="A313" s="11"/>
      <c r="B313" s="9"/>
      <c r="C313" s="11"/>
      <c r="D313" s="11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11"/>
    </row>
    <row r="314" ht="12.75" customHeight="1">
      <c r="A314" s="11"/>
      <c r="B314" s="9"/>
      <c r="C314" s="11"/>
      <c r="D314" s="11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11"/>
    </row>
    <row r="315" ht="12.75" customHeight="1">
      <c r="A315" s="11"/>
      <c r="B315" s="9"/>
      <c r="C315" s="11"/>
      <c r="D315" s="11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11"/>
    </row>
    <row r="316" ht="12.75" customHeight="1">
      <c r="A316" s="11"/>
      <c r="B316" s="9"/>
      <c r="C316" s="11"/>
      <c r="D316" s="11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11"/>
    </row>
    <row r="317" ht="12.75" customHeight="1">
      <c r="A317" s="11"/>
      <c r="B317" s="9"/>
      <c r="C317" s="11"/>
      <c r="D317" s="11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11"/>
    </row>
    <row r="318" ht="12.75" customHeight="1">
      <c r="A318" s="11"/>
      <c r="B318" s="9"/>
      <c r="C318" s="11"/>
      <c r="D318" s="11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11"/>
    </row>
    <row r="319" ht="12.75" customHeight="1">
      <c r="A319" s="11"/>
      <c r="B319" s="9"/>
      <c r="C319" s="11"/>
      <c r="D319" s="11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11"/>
    </row>
    <row r="320" ht="12.75" customHeight="1">
      <c r="A320" s="11"/>
      <c r="B320" s="9"/>
      <c r="C320" s="11"/>
      <c r="D320" s="11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11"/>
    </row>
    <row r="321" ht="12.75" customHeight="1">
      <c r="A321" s="11"/>
      <c r="B321" s="9"/>
      <c r="C321" s="11"/>
      <c r="D321" s="11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11"/>
    </row>
    <row r="322" ht="12.75" customHeight="1">
      <c r="A322" s="11"/>
      <c r="B322" s="9"/>
      <c r="C322" s="11"/>
      <c r="D322" s="11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11"/>
    </row>
    <row r="323" ht="12.75" customHeight="1">
      <c r="A323" s="11"/>
      <c r="B323" s="9"/>
      <c r="C323" s="11"/>
      <c r="D323" s="11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11"/>
    </row>
    <row r="324" ht="12.75" customHeight="1">
      <c r="A324" s="11"/>
      <c r="B324" s="9"/>
      <c r="C324" s="11"/>
      <c r="D324" s="11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11"/>
    </row>
    <row r="325" ht="12.75" customHeight="1">
      <c r="A325" s="11"/>
      <c r="B325" s="9"/>
      <c r="C325" s="11"/>
      <c r="D325" s="11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11"/>
    </row>
    <row r="326" ht="12.75" customHeight="1">
      <c r="A326" s="11"/>
      <c r="B326" s="9"/>
      <c r="C326" s="11"/>
      <c r="D326" s="11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11"/>
    </row>
    <row r="327" ht="12.75" customHeight="1">
      <c r="A327" s="11"/>
      <c r="B327" s="9"/>
      <c r="C327" s="11"/>
      <c r="D327" s="11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11"/>
    </row>
    <row r="328" ht="12.75" customHeight="1">
      <c r="A328" s="11"/>
      <c r="B328" s="9"/>
      <c r="C328" s="11"/>
      <c r="D328" s="11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11"/>
    </row>
    <row r="329" ht="12.75" customHeight="1">
      <c r="A329" s="11"/>
      <c r="B329" s="9"/>
      <c r="C329" s="11"/>
      <c r="D329" s="11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11"/>
    </row>
    <row r="330" ht="12.75" customHeight="1">
      <c r="A330" s="11"/>
      <c r="B330" s="9"/>
      <c r="C330" s="11"/>
      <c r="D330" s="11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11"/>
    </row>
    <row r="331" ht="12.75" customHeight="1">
      <c r="A331" s="11"/>
      <c r="B331" s="9"/>
      <c r="C331" s="11"/>
      <c r="D331" s="11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11"/>
    </row>
    <row r="332" ht="12.75" customHeight="1">
      <c r="A332" s="11"/>
      <c r="B332" s="9"/>
      <c r="C332" s="11"/>
      <c r="D332" s="11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11"/>
    </row>
    <row r="333" ht="12.75" customHeight="1">
      <c r="A333" s="11"/>
      <c r="B333" s="9"/>
      <c r="C333" s="11"/>
      <c r="D333" s="11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11"/>
    </row>
    <row r="334" ht="12.75" customHeight="1">
      <c r="A334" s="11"/>
      <c r="B334" s="9"/>
      <c r="C334" s="11"/>
      <c r="D334" s="11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11"/>
    </row>
    <row r="335" ht="12.75" customHeight="1">
      <c r="A335" s="11"/>
      <c r="B335" s="9"/>
      <c r="C335" s="11"/>
      <c r="D335" s="11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11"/>
    </row>
    <row r="336" ht="12.75" customHeight="1">
      <c r="A336" s="11"/>
      <c r="B336" s="9"/>
      <c r="C336" s="11"/>
      <c r="D336" s="11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11"/>
    </row>
    <row r="337" ht="12.75" customHeight="1">
      <c r="A337" s="11"/>
      <c r="B337" s="9"/>
      <c r="C337" s="11"/>
      <c r="D337" s="11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11"/>
    </row>
    <row r="338" ht="12.75" customHeight="1">
      <c r="A338" s="11"/>
      <c r="B338" s="9"/>
      <c r="C338" s="11"/>
      <c r="D338" s="11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11"/>
    </row>
    <row r="339" ht="12.75" customHeight="1">
      <c r="A339" s="11"/>
      <c r="B339" s="9"/>
      <c r="C339" s="11"/>
      <c r="D339" s="11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11"/>
    </row>
    <row r="340" ht="12.75" customHeight="1">
      <c r="A340" s="11"/>
      <c r="B340" s="9"/>
      <c r="C340" s="11"/>
      <c r="D340" s="11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11"/>
    </row>
    <row r="341" ht="12.75" customHeight="1">
      <c r="A341" s="11"/>
      <c r="B341" s="9"/>
      <c r="C341" s="11"/>
      <c r="D341" s="11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11"/>
    </row>
    <row r="342" ht="12.75" customHeight="1">
      <c r="A342" s="11"/>
      <c r="B342" s="9"/>
      <c r="C342" s="11"/>
      <c r="D342" s="11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11"/>
    </row>
    <row r="343" ht="12.75" customHeight="1">
      <c r="A343" s="11"/>
      <c r="B343" s="9"/>
      <c r="C343" s="11"/>
      <c r="D343" s="11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11"/>
    </row>
    <row r="344" ht="12.75" customHeight="1">
      <c r="A344" s="11"/>
      <c r="B344" s="9"/>
      <c r="C344" s="11"/>
      <c r="D344" s="11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11"/>
    </row>
    <row r="345" ht="12.75" customHeight="1">
      <c r="A345" s="11"/>
      <c r="B345" s="9"/>
      <c r="C345" s="11"/>
      <c r="D345" s="11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11"/>
    </row>
    <row r="346" ht="12.75" customHeight="1">
      <c r="A346" s="11"/>
      <c r="B346" s="9"/>
      <c r="C346" s="11"/>
      <c r="D346" s="11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11"/>
    </row>
    <row r="347" ht="12.75" customHeight="1">
      <c r="A347" s="11"/>
      <c r="B347" s="9"/>
      <c r="C347" s="11"/>
      <c r="D347" s="11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11"/>
    </row>
    <row r="348" ht="12.75" customHeight="1">
      <c r="A348" s="11"/>
      <c r="B348" s="9"/>
      <c r="C348" s="11"/>
      <c r="D348" s="11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11"/>
    </row>
    <row r="349" ht="12.75" customHeight="1">
      <c r="A349" s="11"/>
      <c r="B349" s="9"/>
      <c r="C349" s="11"/>
      <c r="D349" s="11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11"/>
    </row>
    <row r="350" ht="12.75" customHeight="1">
      <c r="A350" s="11"/>
      <c r="B350" s="9"/>
      <c r="C350" s="11"/>
      <c r="D350" s="11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11"/>
    </row>
    <row r="351" ht="12.75" customHeight="1">
      <c r="A351" s="11"/>
      <c r="B351" s="9"/>
      <c r="C351" s="11"/>
      <c r="D351" s="11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11"/>
    </row>
    <row r="352" ht="12.75" customHeight="1">
      <c r="A352" s="11"/>
      <c r="B352" s="9"/>
      <c r="C352" s="11"/>
      <c r="D352" s="11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11"/>
    </row>
    <row r="353" ht="12.75" customHeight="1">
      <c r="A353" s="11"/>
      <c r="B353" s="9"/>
      <c r="C353" s="11"/>
      <c r="D353" s="11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11"/>
    </row>
    <row r="354" ht="12.75" customHeight="1">
      <c r="A354" s="11"/>
      <c r="B354" s="9"/>
      <c r="C354" s="11"/>
      <c r="D354" s="11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11"/>
    </row>
    <row r="355" ht="12.75" customHeight="1">
      <c r="A355" s="11"/>
      <c r="B355" s="9"/>
      <c r="C355" s="11"/>
      <c r="D355" s="11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11"/>
    </row>
    <row r="356" ht="12.75" customHeight="1">
      <c r="A356" s="11"/>
      <c r="B356" s="9"/>
      <c r="C356" s="11"/>
      <c r="D356" s="11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11"/>
    </row>
    <row r="357" ht="12.75" customHeight="1">
      <c r="A357" s="11"/>
      <c r="B357" s="9"/>
      <c r="C357" s="11"/>
      <c r="D357" s="11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11"/>
    </row>
    <row r="358" ht="12.75" customHeight="1">
      <c r="A358" s="11"/>
      <c r="B358" s="9"/>
      <c r="C358" s="11"/>
      <c r="D358" s="11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11"/>
    </row>
    <row r="359" ht="12.75" customHeight="1">
      <c r="A359" s="11"/>
      <c r="B359" s="9"/>
      <c r="C359" s="11"/>
      <c r="D359" s="11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11"/>
    </row>
    <row r="360" ht="12.75" customHeight="1">
      <c r="A360" s="11"/>
      <c r="B360" s="9"/>
      <c r="C360" s="11"/>
      <c r="D360" s="11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11"/>
    </row>
    <row r="361" ht="12.75" customHeight="1">
      <c r="A361" s="11"/>
      <c r="B361" s="9"/>
      <c r="C361" s="11"/>
      <c r="D361" s="11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11"/>
    </row>
    <row r="362" ht="12.75" customHeight="1">
      <c r="A362" s="11"/>
      <c r="B362" s="9"/>
      <c r="C362" s="11"/>
      <c r="D362" s="11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11"/>
    </row>
    <row r="363" ht="12.75" customHeight="1">
      <c r="A363" s="11"/>
      <c r="B363" s="9"/>
      <c r="C363" s="11"/>
      <c r="D363" s="11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11"/>
    </row>
    <row r="364" ht="12.75" customHeight="1">
      <c r="A364" s="11"/>
      <c r="B364" s="9"/>
      <c r="C364" s="11"/>
      <c r="D364" s="11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11"/>
    </row>
    <row r="365" ht="12.75" customHeight="1">
      <c r="A365" s="11"/>
      <c r="B365" s="9"/>
      <c r="C365" s="11"/>
      <c r="D365" s="11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11"/>
    </row>
    <row r="366" ht="12.75" customHeight="1">
      <c r="A366" s="11"/>
      <c r="B366" s="9"/>
      <c r="C366" s="11"/>
      <c r="D366" s="11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11"/>
    </row>
    <row r="367" ht="12.75" customHeight="1">
      <c r="A367" s="11"/>
      <c r="B367" s="9"/>
      <c r="C367" s="11"/>
      <c r="D367" s="11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11"/>
    </row>
    <row r="368" ht="12.75" customHeight="1">
      <c r="A368" s="11"/>
      <c r="B368" s="9"/>
      <c r="C368" s="11"/>
      <c r="D368" s="11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11"/>
    </row>
    <row r="369" ht="12.75" customHeight="1">
      <c r="A369" s="11"/>
      <c r="B369" s="9"/>
      <c r="C369" s="11"/>
      <c r="D369" s="11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11"/>
    </row>
    <row r="370" ht="12.75" customHeight="1">
      <c r="A370" s="11"/>
      <c r="B370" s="9"/>
      <c r="C370" s="11"/>
      <c r="D370" s="11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11"/>
    </row>
    <row r="371" ht="12.75" customHeight="1">
      <c r="A371" s="11"/>
      <c r="B371" s="9"/>
      <c r="C371" s="11"/>
      <c r="D371" s="11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11"/>
    </row>
    <row r="372" ht="12.75" customHeight="1">
      <c r="A372" s="11"/>
      <c r="B372" s="9"/>
      <c r="C372" s="11"/>
      <c r="D372" s="11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11"/>
    </row>
    <row r="373" ht="12.75" customHeight="1">
      <c r="A373" s="11"/>
      <c r="B373" s="9"/>
      <c r="C373" s="11"/>
      <c r="D373" s="11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11"/>
    </row>
    <row r="374" ht="12.75" customHeight="1">
      <c r="A374" s="11"/>
      <c r="B374" s="9"/>
      <c r="C374" s="11"/>
      <c r="D374" s="11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11"/>
    </row>
    <row r="375" ht="12.75" customHeight="1">
      <c r="A375" s="11"/>
      <c r="B375" s="9"/>
      <c r="C375" s="11"/>
      <c r="D375" s="11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11"/>
    </row>
    <row r="376" ht="12.75" customHeight="1">
      <c r="A376" s="11"/>
      <c r="B376" s="9"/>
      <c r="C376" s="11"/>
      <c r="D376" s="11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11"/>
    </row>
    <row r="377" ht="12.75" customHeight="1">
      <c r="A377" s="11"/>
      <c r="B377" s="9"/>
      <c r="C377" s="11"/>
      <c r="D377" s="11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11"/>
    </row>
    <row r="378" ht="12.75" customHeight="1">
      <c r="A378" s="11"/>
      <c r="B378" s="9"/>
      <c r="C378" s="11"/>
      <c r="D378" s="11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11"/>
    </row>
    <row r="379" ht="12.75" customHeight="1">
      <c r="A379" s="11"/>
      <c r="B379" s="9"/>
      <c r="C379" s="11"/>
      <c r="D379" s="11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11"/>
    </row>
    <row r="380" ht="12.75" customHeight="1">
      <c r="A380" s="11"/>
      <c r="B380" s="9"/>
      <c r="C380" s="11"/>
      <c r="D380" s="11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11"/>
    </row>
    <row r="381" ht="12.75" customHeight="1">
      <c r="A381" s="11"/>
      <c r="B381" s="9"/>
      <c r="C381" s="11"/>
      <c r="D381" s="11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11"/>
    </row>
    <row r="382" ht="12.75" customHeight="1">
      <c r="A382" s="11"/>
      <c r="B382" s="9"/>
      <c r="C382" s="11"/>
      <c r="D382" s="11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11"/>
    </row>
    <row r="383" ht="12.75" customHeight="1">
      <c r="A383" s="11"/>
      <c r="B383" s="9"/>
      <c r="C383" s="11"/>
      <c r="D383" s="11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11"/>
    </row>
    <row r="384" ht="12.75" customHeight="1">
      <c r="A384" s="11"/>
      <c r="B384" s="9"/>
      <c r="C384" s="11"/>
      <c r="D384" s="11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11"/>
    </row>
    <row r="385" ht="12.75" customHeight="1">
      <c r="A385" s="11"/>
      <c r="B385" s="9"/>
      <c r="C385" s="11"/>
      <c r="D385" s="11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11"/>
    </row>
    <row r="386" ht="12.75" customHeight="1">
      <c r="A386" s="11"/>
      <c r="B386" s="9"/>
      <c r="C386" s="11"/>
      <c r="D386" s="11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11"/>
    </row>
    <row r="387" ht="12.75" customHeight="1">
      <c r="A387" s="11"/>
      <c r="B387" s="9"/>
      <c r="C387" s="11"/>
      <c r="D387" s="11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11"/>
    </row>
    <row r="388" ht="12.75" customHeight="1">
      <c r="A388" s="11"/>
      <c r="B388" s="9"/>
      <c r="C388" s="11"/>
      <c r="D388" s="11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11"/>
    </row>
    <row r="389" ht="12.75" customHeight="1">
      <c r="A389" s="11"/>
      <c r="B389" s="9"/>
      <c r="C389" s="11"/>
      <c r="D389" s="11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11"/>
    </row>
    <row r="390" ht="12.75" customHeight="1">
      <c r="A390" s="11"/>
      <c r="B390" s="9"/>
      <c r="C390" s="11"/>
      <c r="D390" s="11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11"/>
    </row>
    <row r="391" ht="12.75" customHeight="1">
      <c r="A391" s="11"/>
      <c r="B391" s="9"/>
      <c r="C391" s="11"/>
      <c r="D391" s="11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11"/>
    </row>
    <row r="392" ht="12.75" customHeight="1">
      <c r="A392" s="11"/>
      <c r="B392" s="9"/>
      <c r="C392" s="11"/>
      <c r="D392" s="11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11"/>
    </row>
    <row r="393" ht="12.75" customHeight="1">
      <c r="A393" s="11"/>
      <c r="B393" s="9"/>
      <c r="C393" s="11"/>
      <c r="D393" s="11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11"/>
    </row>
    <row r="394" ht="12.75" customHeight="1">
      <c r="A394" s="11"/>
      <c r="B394" s="9"/>
      <c r="C394" s="11"/>
      <c r="D394" s="11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11"/>
    </row>
    <row r="395" ht="12.75" customHeight="1">
      <c r="A395" s="11"/>
      <c r="B395" s="9"/>
      <c r="C395" s="11"/>
      <c r="D395" s="11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11"/>
    </row>
    <row r="396" ht="12.75" customHeight="1">
      <c r="A396" s="11"/>
      <c r="B396" s="9"/>
      <c r="C396" s="11"/>
      <c r="D396" s="11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11"/>
    </row>
    <row r="397" ht="12.75" customHeight="1">
      <c r="A397" s="11"/>
      <c r="B397" s="9"/>
      <c r="C397" s="11"/>
      <c r="D397" s="11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11"/>
    </row>
    <row r="398" ht="12.75" customHeight="1">
      <c r="A398" s="11"/>
      <c r="B398" s="9"/>
      <c r="C398" s="11"/>
      <c r="D398" s="11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11"/>
    </row>
    <row r="399" ht="12.75" customHeight="1">
      <c r="A399" s="11"/>
      <c r="B399" s="9"/>
      <c r="C399" s="11"/>
      <c r="D399" s="11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11"/>
    </row>
    <row r="400" ht="12.75" customHeight="1">
      <c r="A400" s="11"/>
      <c r="B400" s="9"/>
      <c r="C400" s="11"/>
      <c r="D400" s="11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11"/>
    </row>
    <row r="401" ht="12.75" customHeight="1">
      <c r="A401" s="11"/>
      <c r="B401" s="9"/>
      <c r="C401" s="11"/>
      <c r="D401" s="11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11"/>
    </row>
    <row r="402" ht="12.75" customHeight="1">
      <c r="A402" s="11"/>
      <c r="B402" s="9"/>
      <c r="C402" s="11"/>
      <c r="D402" s="11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11"/>
    </row>
    <row r="403" ht="12.75" customHeight="1">
      <c r="A403" s="11"/>
      <c r="B403" s="9"/>
      <c r="C403" s="11"/>
      <c r="D403" s="11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11"/>
    </row>
    <row r="404" ht="12.75" customHeight="1">
      <c r="A404" s="11"/>
      <c r="B404" s="9"/>
      <c r="C404" s="11"/>
      <c r="D404" s="11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11"/>
    </row>
    <row r="405" ht="12.75" customHeight="1">
      <c r="A405" s="11"/>
      <c r="B405" s="9"/>
      <c r="C405" s="11"/>
      <c r="D405" s="11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11"/>
    </row>
    <row r="406" ht="12.75" customHeight="1">
      <c r="A406" s="11"/>
      <c r="B406" s="9"/>
      <c r="C406" s="11"/>
      <c r="D406" s="11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11"/>
    </row>
    <row r="407" ht="12.75" customHeight="1">
      <c r="A407" s="11"/>
      <c r="B407" s="9"/>
      <c r="C407" s="11"/>
      <c r="D407" s="11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11"/>
    </row>
    <row r="408" ht="12.75" customHeight="1">
      <c r="A408" s="11"/>
      <c r="B408" s="9"/>
      <c r="C408" s="11"/>
      <c r="D408" s="11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11"/>
    </row>
    <row r="409" ht="12.75" customHeight="1">
      <c r="A409" s="11"/>
      <c r="B409" s="9"/>
      <c r="C409" s="11"/>
      <c r="D409" s="11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11"/>
    </row>
    <row r="410" ht="12.75" customHeight="1">
      <c r="A410" s="11"/>
      <c r="B410" s="9"/>
      <c r="C410" s="11"/>
      <c r="D410" s="11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11"/>
    </row>
    <row r="411" ht="12.75" customHeight="1">
      <c r="A411" s="11"/>
      <c r="B411" s="9"/>
      <c r="C411" s="11"/>
      <c r="D411" s="11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11"/>
    </row>
    <row r="412" ht="12.75" customHeight="1">
      <c r="A412" s="11"/>
      <c r="B412" s="9"/>
      <c r="C412" s="11"/>
      <c r="D412" s="11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11"/>
    </row>
    <row r="413" ht="12.75" customHeight="1">
      <c r="A413" s="11"/>
      <c r="B413" s="9"/>
      <c r="C413" s="11"/>
      <c r="D413" s="11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11"/>
    </row>
    <row r="414" ht="12.75" customHeight="1">
      <c r="A414" s="11"/>
      <c r="B414" s="9"/>
      <c r="C414" s="11"/>
      <c r="D414" s="11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11"/>
    </row>
    <row r="415" ht="12.75" customHeight="1">
      <c r="A415" s="11"/>
      <c r="B415" s="9"/>
      <c r="C415" s="11"/>
      <c r="D415" s="11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11"/>
    </row>
    <row r="416" ht="12.75" customHeight="1">
      <c r="A416" s="11"/>
      <c r="B416" s="9"/>
      <c r="C416" s="11"/>
      <c r="D416" s="11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11"/>
    </row>
    <row r="417" ht="12.75" customHeight="1">
      <c r="A417" s="11"/>
      <c r="B417" s="9"/>
      <c r="C417" s="11"/>
      <c r="D417" s="11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11"/>
    </row>
    <row r="418" ht="12.75" customHeight="1">
      <c r="A418" s="11"/>
      <c r="B418" s="9"/>
      <c r="C418" s="11"/>
      <c r="D418" s="11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11"/>
    </row>
    <row r="419" ht="12.75" customHeight="1">
      <c r="A419" s="11"/>
      <c r="B419" s="9"/>
      <c r="C419" s="11"/>
      <c r="D419" s="11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11"/>
    </row>
    <row r="420" ht="12.75" customHeight="1">
      <c r="A420" s="11"/>
      <c r="B420" s="9"/>
      <c r="C420" s="11"/>
      <c r="D420" s="11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11"/>
    </row>
    <row r="421" ht="12.75" customHeight="1">
      <c r="A421" s="11"/>
      <c r="B421" s="9"/>
      <c r="C421" s="11"/>
      <c r="D421" s="11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11"/>
    </row>
    <row r="422" ht="12.75" customHeight="1">
      <c r="A422" s="11"/>
      <c r="B422" s="9"/>
      <c r="C422" s="11"/>
      <c r="D422" s="11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11"/>
    </row>
    <row r="423" ht="12.75" customHeight="1">
      <c r="A423" s="11"/>
      <c r="B423" s="9"/>
      <c r="C423" s="11"/>
      <c r="D423" s="11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11"/>
    </row>
    <row r="424" ht="12.75" customHeight="1">
      <c r="A424" s="11"/>
      <c r="B424" s="9"/>
      <c r="C424" s="11"/>
      <c r="D424" s="11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11"/>
    </row>
    <row r="425" ht="12.75" customHeight="1">
      <c r="A425" s="11"/>
      <c r="B425" s="9"/>
      <c r="C425" s="11"/>
      <c r="D425" s="11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11"/>
    </row>
    <row r="426" ht="12.75" customHeight="1">
      <c r="A426" s="11"/>
      <c r="B426" s="9"/>
      <c r="C426" s="11"/>
      <c r="D426" s="11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11"/>
    </row>
    <row r="427" ht="12.75" customHeight="1">
      <c r="A427" s="11"/>
      <c r="B427" s="9"/>
      <c r="C427" s="11"/>
      <c r="D427" s="11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11"/>
    </row>
    <row r="428" ht="12.75" customHeight="1">
      <c r="A428" s="11"/>
      <c r="B428" s="9"/>
      <c r="C428" s="11"/>
      <c r="D428" s="11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11"/>
    </row>
    <row r="429" ht="12.75" customHeight="1">
      <c r="A429" s="11"/>
      <c r="B429" s="9"/>
      <c r="C429" s="11"/>
      <c r="D429" s="11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11"/>
    </row>
    <row r="430" ht="12.75" customHeight="1">
      <c r="A430" s="11"/>
      <c r="B430" s="9"/>
      <c r="C430" s="11"/>
      <c r="D430" s="11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11"/>
    </row>
    <row r="431" ht="12.75" customHeight="1">
      <c r="A431" s="11"/>
      <c r="B431" s="9"/>
      <c r="C431" s="11"/>
      <c r="D431" s="11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11"/>
    </row>
    <row r="432" ht="12.75" customHeight="1">
      <c r="A432" s="11"/>
      <c r="B432" s="9"/>
      <c r="C432" s="11"/>
      <c r="D432" s="11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11"/>
    </row>
    <row r="433" ht="12.75" customHeight="1">
      <c r="A433" s="11"/>
      <c r="B433" s="9"/>
      <c r="C433" s="11"/>
      <c r="D433" s="11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11"/>
    </row>
    <row r="434" ht="12.75" customHeight="1">
      <c r="A434" s="11"/>
      <c r="B434" s="9"/>
      <c r="C434" s="11"/>
      <c r="D434" s="11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11"/>
    </row>
    <row r="435" ht="12.75" customHeight="1">
      <c r="A435" s="11"/>
      <c r="B435" s="9"/>
      <c r="C435" s="11"/>
      <c r="D435" s="11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11"/>
    </row>
    <row r="436" ht="12.75" customHeight="1">
      <c r="A436" s="11"/>
      <c r="B436" s="9"/>
      <c r="C436" s="11"/>
      <c r="D436" s="11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11"/>
    </row>
    <row r="437" ht="12.75" customHeight="1">
      <c r="A437" s="11"/>
      <c r="B437" s="9"/>
      <c r="C437" s="11"/>
      <c r="D437" s="11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11"/>
    </row>
    <row r="438" ht="12.75" customHeight="1">
      <c r="A438" s="11"/>
      <c r="B438" s="9"/>
      <c r="C438" s="11"/>
      <c r="D438" s="11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11"/>
    </row>
    <row r="439" ht="12.75" customHeight="1">
      <c r="A439" s="11"/>
      <c r="B439" s="9"/>
      <c r="C439" s="11"/>
      <c r="D439" s="11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11"/>
    </row>
    <row r="440" ht="12.75" customHeight="1">
      <c r="A440" s="11"/>
      <c r="B440" s="9"/>
      <c r="C440" s="11"/>
      <c r="D440" s="11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11"/>
    </row>
    <row r="441" ht="12.75" customHeight="1">
      <c r="A441" s="11"/>
      <c r="B441" s="9"/>
      <c r="C441" s="11"/>
      <c r="D441" s="11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11"/>
    </row>
    <row r="442" ht="12.75" customHeight="1">
      <c r="A442" s="11"/>
      <c r="B442" s="9"/>
      <c r="C442" s="11"/>
      <c r="D442" s="11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11"/>
    </row>
    <row r="443" ht="12.75" customHeight="1">
      <c r="A443" s="11"/>
      <c r="B443" s="9"/>
      <c r="C443" s="11"/>
      <c r="D443" s="11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11"/>
    </row>
    <row r="444" ht="12.75" customHeight="1">
      <c r="A444" s="11"/>
      <c r="B444" s="9"/>
      <c r="C444" s="11"/>
      <c r="D444" s="11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11"/>
    </row>
    <row r="445" ht="12.75" customHeight="1">
      <c r="A445" s="11"/>
      <c r="B445" s="9"/>
      <c r="C445" s="11"/>
      <c r="D445" s="11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11"/>
    </row>
    <row r="446" ht="12.75" customHeight="1">
      <c r="A446" s="11"/>
      <c r="B446" s="9"/>
      <c r="C446" s="11"/>
      <c r="D446" s="11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11"/>
    </row>
    <row r="447" ht="12.75" customHeight="1">
      <c r="A447" s="11"/>
      <c r="B447" s="9"/>
      <c r="C447" s="11"/>
      <c r="D447" s="11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11"/>
    </row>
    <row r="448" ht="12.75" customHeight="1">
      <c r="A448" s="11"/>
      <c r="B448" s="9"/>
      <c r="C448" s="11"/>
      <c r="D448" s="11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11"/>
    </row>
    <row r="449" ht="12.75" customHeight="1">
      <c r="A449" s="11"/>
      <c r="B449" s="9"/>
      <c r="C449" s="11"/>
      <c r="D449" s="11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11"/>
    </row>
    <row r="450" ht="12.75" customHeight="1">
      <c r="A450" s="11"/>
      <c r="B450" s="9"/>
      <c r="C450" s="11"/>
      <c r="D450" s="11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11"/>
    </row>
    <row r="451" ht="12.75" customHeight="1">
      <c r="A451" s="11"/>
      <c r="B451" s="9"/>
      <c r="C451" s="11"/>
      <c r="D451" s="11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11"/>
    </row>
    <row r="452" ht="12.75" customHeight="1">
      <c r="A452" s="11"/>
      <c r="B452" s="9"/>
      <c r="C452" s="11"/>
      <c r="D452" s="11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11"/>
    </row>
    <row r="453" ht="12.75" customHeight="1">
      <c r="A453" s="11"/>
      <c r="B453" s="9"/>
      <c r="C453" s="11"/>
      <c r="D453" s="11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11"/>
    </row>
    <row r="454" ht="12.75" customHeight="1">
      <c r="A454" s="11"/>
      <c r="B454" s="9"/>
      <c r="C454" s="11"/>
      <c r="D454" s="11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11"/>
    </row>
    <row r="455" ht="12.75" customHeight="1">
      <c r="A455" s="11"/>
      <c r="B455" s="9"/>
      <c r="C455" s="11"/>
      <c r="D455" s="11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11"/>
    </row>
    <row r="456" ht="12.75" customHeight="1">
      <c r="A456" s="11"/>
      <c r="B456" s="9"/>
      <c r="C456" s="11"/>
      <c r="D456" s="11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11"/>
    </row>
    <row r="457" ht="12.75" customHeight="1">
      <c r="A457" s="11"/>
      <c r="B457" s="9"/>
      <c r="C457" s="11"/>
      <c r="D457" s="11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11"/>
    </row>
    <row r="458" ht="12.75" customHeight="1">
      <c r="A458" s="11"/>
      <c r="B458" s="9"/>
      <c r="C458" s="11"/>
      <c r="D458" s="11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11"/>
    </row>
    <row r="459" ht="12.75" customHeight="1">
      <c r="A459" s="11"/>
      <c r="B459" s="9"/>
      <c r="C459" s="11"/>
      <c r="D459" s="11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11"/>
    </row>
    <row r="460" ht="12.75" customHeight="1">
      <c r="A460" s="11"/>
      <c r="B460" s="9"/>
      <c r="C460" s="11"/>
      <c r="D460" s="11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11"/>
    </row>
    <row r="461" ht="12.75" customHeight="1">
      <c r="A461" s="11"/>
      <c r="B461" s="9"/>
      <c r="C461" s="11"/>
      <c r="D461" s="11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11"/>
    </row>
    <row r="462" ht="12.75" customHeight="1">
      <c r="A462" s="11"/>
      <c r="B462" s="9"/>
      <c r="C462" s="11"/>
      <c r="D462" s="11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11"/>
    </row>
    <row r="463" ht="12.75" customHeight="1">
      <c r="A463" s="11"/>
      <c r="B463" s="9"/>
      <c r="C463" s="11"/>
      <c r="D463" s="11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11"/>
    </row>
    <row r="464" ht="12.75" customHeight="1">
      <c r="A464" s="11"/>
      <c r="B464" s="9"/>
      <c r="C464" s="11"/>
      <c r="D464" s="11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11"/>
    </row>
    <row r="465" ht="12.75" customHeight="1">
      <c r="A465" s="11"/>
      <c r="B465" s="9"/>
      <c r="C465" s="11"/>
      <c r="D465" s="11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11"/>
    </row>
    <row r="466" ht="12.75" customHeight="1">
      <c r="A466" s="11"/>
      <c r="B466" s="9"/>
      <c r="C466" s="11"/>
      <c r="D466" s="11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11"/>
    </row>
    <row r="467" ht="12.75" customHeight="1">
      <c r="A467" s="11"/>
      <c r="B467" s="9"/>
      <c r="C467" s="11"/>
      <c r="D467" s="11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11"/>
    </row>
    <row r="468" ht="12.75" customHeight="1">
      <c r="A468" s="11"/>
      <c r="B468" s="9"/>
      <c r="C468" s="11"/>
      <c r="D468" s="11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11"/>
    </row>
    <row r="469" ht="12.75" customHeight="1">
      <c r="A469" s="11"/>
      <c r="B469" s="9"/>
      <c r="C469" s="11"/>
      <c r="D469" s="11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11"/>
    </row>
    <row r="470" ht="12.75" customHeight="1">
      <c r="A470" s="11"/>
      <c r="B470" s="9"/>
      <c r="C470" s="11"/>
      <c r="D470" s="11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11"/>
    </row>
    <row r="471" ht="12.75" customHeight="1">
      <c r="A471" s="11"/>
      <c r="B471" s="9"/>
      <c r="C471" s="11"/>
      <c r="D471" s="11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11"/>
    </row>
    <row r="472" ht="12.75" customHeight="1">
      <c r="A472" s="11"/>
      <c r="B472" s="9"/>
      <c r="C472" s="11"/>
      <c r="D472" s="11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11"/>
    </row>
    <row r="473" ht="12.75" customHeight="1">
      <c r="A473" s="11"/>
      <c r="B473" s="9"/>
      <c r="C473" s="11"/>
      <c r="D473" s="11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11"/>
    </row>
    <row r="474" ht="12.75" customHeight="1">
      <c r="A474" s="11"/>
      <c r="B474" s="9"/>
      <c r="C474" s="11"/>
      <c r="D474" s="11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11"/>
    </row>
    <row r="475" ht="12.75" customHeight="1">
      <c r="A475" s="11"/>
      <c r="B475" s="9"/>
      <c r="C475" s="11"/>
      <c r="D475" s="11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11"/>
    </row>
    <row r="476" ht="12.75" customHeight="1">
      <c r="A476" s="11"/>
      <c r="B476" s="9"/>
      <c r="C476" s="11"/>
      <c r="D476" s="11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11"/>
    </row>
    <row r="477" ht="12.75" customHeight="1">
      <c r="A477" s="11"/>
      <c r="B477" s="9"/>
      <c r="C477" s="11"/>
      <c r="D477" s="11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11"/>
    </row>
    <row r="478" ht="12.75" customHeight="1">
      <c r="A478" s="11"/>
      <c r="B478" s="9"/>
      <c r="C478" s="11"/>
      <c r="D478" s="11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11"/>
    </row>
    <row r="479" ht="12.75" customHeight="1">
      <c r="A479" s="11"/>
      <c r="B479" s="9"/>
      <c r="C479" s="11"/>
      <c r="D479" s="11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11"/>
    </row>
    <row r="480" ht="12.75" customHeight="1">
      <c r="A480" s="11"/>
      <c r="B480" s="9"/>
      <c r="C480" s="11"/>
      <c r="D480" s="11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11"/>
    </row>
    <row r="481" ht="12.75" customHeight="1">
      <c r="A481" s="11"/>
      <c r="B481" s="9"/>
      <c r="C481" s="11"/>
      <c r="D481" s="11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11"/>
    </row>
    <row r="482" ht="12.75" customHeight="1">
      <c r="A482" s="11"/>
      <c r="B482" s="9"/>
      <c r="C482" s="11"/>
      <c r="D482" s="11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11"/>
    </row>
    <row r="483" ht="12.75" customHeight="1">
      <c r="A483" s="11"/>
      <c r="B483" s="9"/>
      <c r="C483" s="11"/>
      <c r="D483" s="11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11"/>
    </row>
    <row r="484" ht="12.75" customHeight="1">
      <c r="A484" s="11"/>
      <c r="B484" s="9"/>
      <c r="C484" s="11"/>
      <c r="D484" s="11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11"/>
    </row>
    <row r="485" ht="12.75" customHeight="1">
      <c r="A485" s="11"/>
      <c r="B485" s="9"/>
      <c r="C485" s="11"/>
      <c r="D485" s="11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11"/>
    </row>
    <row r="486" ht="12.75" customHeight="1">
      <c r="A486" s="11"/>
      <c r="B486" s="9"/>
      <c r="C486" s="11"/>
      <c r="D486" s="11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11"/>
    </row>
    <row r="487" ht="12.75" customHeight="1">
      <c r="A487" s="11"/>
      <c r="B487" s="9"/>
      <c r="C487" s="11"/>
      <c r="D487" s="11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11"/>
    </row>
    <row r="488" ht="12.75" customHeight="1">
      <c r="A488" s="11"/>
      <c r="B488" s="9"/>
      <c r="C488" s="11"/>
      <c r="D488" s="11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11"/>
    </row>
    <row r="489" ht="12.75" customHeight="1">
      <c r="A489" s="11"/>
      <c r="B489" s="9"/>
      <c r="C489" s="11"/>
      <c r="D489" s="11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11"/>
    </row>
    <row r="490" ht="12.75" customHeight="1">
      <c r="A490" s="11"/>
      <c r="B490" s="9"/>
      <c r="C490" s="11"/>
      <c r="D490" s="11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11"/>
    </row>
    <row r="491" ht="12.75" customHeight="1">
      <c r="A491" s="11"/>
      <c r="B491" s="9"/>
      <c r="C491" s="11"/>
      <c r="D491" s="11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11"/>
    </row>
    <row r="492" ht="12.75" customHeight="1">
      <c r="A492" s="11"/>
      <c r="B492" s="9"/>
      <c r="C492" s="11"/>
      <c r="D492" s="11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11"/>
    </row>
    <row r="493" ht="12.75" customHeight="1">
      <c r="A493" s="11"/>
      <c r="B493" s="9"/>
      <c r="C493" s="11"/>
      <c r="D493" s="11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11"/>
    </row>
    <row r="494" ht="12.75" customHeight="1">
      <c r="A494" s="11"/>
      <c r="B494" s="9"/>
      <c r="C494" s="11"/>
      <c r="D494" s="11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11"/>
    </row>
    <row r="495" ht="12.75" customHeight="1">
      <c r="A495" s="11"/>
      <c r="B495" s="9"/>
      <c r="C495" s="11"/>
      <c r="D495" s="11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11"/>
    </row>
    <row r="496" ht="12.75" customHeight="1">
      <c r="A496" s="11"/>
      <c r="B496" s="9"/>
      <c r="C496" s="11"/>
      <c r="D496" s="11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11"/>
    </row>
    <row r="497" ht="12.75" customHeight="1">
      <c r="A497" s="11"/>
      <c r="B497" s="9"/>
      <c r="C497" s="11"/>
      <c r="D497" s="11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11"/>
    </row>
    <row r="498" ht="12.75" customHeight="1">
      <c r="A498" s="11"/>
      <c r="B498" s="9"/>
      <c r="C498" s="11"/>
      <c r="D498" s="11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11"/>
    </row>
    <row r="499" ht="12.75" customHeight="1">
      <c r="A499" s="11"/>
      <c r="B499" s="9"/>
      <c r="C499" s="11"/>
      <c r="D499" s="11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11"/>
    </row>
    <row r="500" ht="12.75" customHeight="1">
      <c r="A500" s="11"/>
      <c r="B500" s="9"/>
      <c r="C500" s="11"/>
      <c r="D500" s="11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11"/>
    </row>
    <row r="501" ht="12.75" customHeight="1">
      <c r="A501" s="11"/>
      <c r="B501" s="9"/>
      <c r="C501" s="11"/>
      <c r="D501" s="11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11"/>
    </row>
    <row r="502" ht="12.75" customHeight="1">
      <c r="A502" s="11"/>
      <c r="B502" s="9"/>
      <c r="C502" s="11"/>
      <c r="D502" s="11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11"/>
    </row>
    <row r="503" ht="12.75" customHeight="1">
      <c r="A503" s="11"/>
      <c r="B503" s="9"/>
      <c r="C503" s="11"/>
      <c r="D503" s="11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11"/>
    </row>
    <row r="504" ht="12.75" customHeight="1">
      <c r="A504" s="11"/>
      <c r="B504" s="9"/>
      <c r="C504" s="11"/>
      <c r="D504" s="11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11"/>
    </row>
    <row r="505" ht="12.75" customHeight="1">
      <c r="A505" s="11"/>
      <c r="B505" s="9"/>
      <c r="C505" s="11"/>
      <c r="D505" s="11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11"/>
    </row>
    <row r="506" ht="12.75" customHeight="1">
      <c r="A506" s="11"/>
      <c r="B506" s="9"/>
      <c r="C506" s="11"/>
      <c r="D506" s="11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11"/>
    </row>
    <row r="507" ht="12.75" customHeight="1">
      <c r="A507" s="11"/>
      <c r="B507" s="9"/>
      <c r="C507" s="11"/>
      <c r="D507" s="11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11"/>
    </row>
    <row r="508" ht="12.75" customHeight="1">
      <c r="A508" s="11"/>
      <c r="B508" s="9"/>
      <c r="C508" s="11"/>
      <c r="D508" s="11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11"/>
    </row>
    <row r="509" ht="12.75" customHeight="1">
      <c r="A509" s="11"/>
      <c r="B509" s="9"/>
      <c r="C509" s="11"/>
      <c r="D509" s="11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11"/>
    </row>
    <row r="510" ht="12.75" customHeight="1">
      <c r="A510" s="11"/>
      <c r="B510" s="9"/>
      <c r="C510" s="11"/>
      <c r="D510" s="11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11"/>
    </row>
    <row r="511" ht="12.75" customHeight="1">
      <c r="A511" s="11"/>
      <c r="B511" s="9"/>
      <c r="C511" s="11"/>
      <c r="D511" s="11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11"/>
    </row>
    <row r="512" ht="12.75" customHeight="1">
      <c r="A512" s="11"/>
      <c r="B512" s="9"/>
      <c r="C512" s="11"/>
      <c r="D512" s="11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11"/>
    </row>
    <row r="513" ht="12.75" customHeight="1">
      <c r="A513" s="11"/>
      <c r="B513" s="9"/>
      <c r="C513" s="11"/>
      <c r="D513" s="11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11"/>
    </row>
    <row r="514" ht="12.75" customHeight="1">
      <c r="A514" s="11"/>
      <c r="B514" s="9"/>
      <c r="C514" s="11"/>
      <c r="D514" s="11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11"/>
    </row>
    <row r="515" ht="12.75" customHeight="1">
      <c r="A515" s="11"/>
      <c r="B515" s="9"/>
      <c r="C515" s="11"/>
      <c r="D515" s="11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11"/>
    </row>
    <row r="516" ht="12.75" customHeight="1">
      <c r="A516" s="11"/>
      <c r="B516" s="9"/>
      <c r="C516" s="11"/>
      <c r="D516" s="11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11"/>
    </row>
    <row r="517" ht="12.75" customHeight="1">
      <c r="A517" s="11"/>
      <c r="B517" s="9"/>
      <c r="C517" s="11"/>
      <c r="D517" s="11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11"/>
    </row>
    <row r="518" ht="12.75" customHeight="1">
      <c r="A518" s="11"/>
      <c r="B518" s="9"/>
      <c r="C518" s="11"/>
      <c r="D518" s="11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11"/>
    </row>
    <row r="519" ht="12.75" customHeight="1">
      <c r="A519" s="11"/>
      <c r="B519" s="9"/>
      <c r="C519" s="11"/>
      <c r="D519" s="11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11"/>
    </row>
    <row r="520" ht="12.75" customHeight="1">
      <c r="A520" s="11"/>
      <c r="B520" s="9"/>
      <c r="C520" s="11"/>
      <c r="D520" s="11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11"/>
    </row>
    <row r="521" ht="12.75" customHeight="1">
      <c r="A521" s="11"/>
      <c r="B521" s="9"/>
      <c r="C521" s="11"/>
      <c r="D521" s="11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11"/>
    </row>
    <row r="522" ht="12.75" customHeight="1">
      <c r="A522" s="11"/>
      <c r="B522" s="9"/>
      <c r="C522" s="11"/>
      <c r="D522" s="11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11"/>
    </row>
    <row r="523" ht="12.75" customHeight="1">
      <c r="A523" s="11"/>
      <c r="B523" s="9"/>
      <c r="C523" s="11"/>
      <c r="D523" s="11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11"/>
    </row>
    <row r="524" ht="12.75" customHeight="1">
      <c r="A524" s="11"/>
      <c r="B524" s="9"/>
      <c r="C524" s="11"/>
      <c r="D524" s="11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11"/>
    </row>
    <row r="525" ht="12.75" customHeight="1">
      <c r="A525" s="11"/>
      <c r="B525" s="9"/>
      <c r="C525" s="11"/>
      <c r="D525" s="11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11"/>
    </row>
    <row r="526" ht="12.75" customHeight="1">
      <c r="A526" s="11"/>
      <c r="B526" s="9"/>
      <c r="C526" s="11"/>
      <c r="D526" s="11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11"/>
    </row>
    <row r="527" ht="12.75" customHeight="1">
      <c r="A527" s="11"/>
      <c r="B527" s="9"/>
      <c r="C527" s="11"/>
      <c r="D527" s="11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11"/>
    </row>
    <row r="528" ht="12.75" customHeight="1">
      <c r="A528" s="11"/>
      <c r="B528" s="9"/>
      <c r="C528" s="11"/>
      <c r="D528" s="11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11"/>
    </row>
    <row r="529" ht="12.75" customHeight="1">
      <c r="A529" s="11"/>
      <c r="B529" s="9"/>
      <c r="C529" s="11"/>
      <c r="D529" s="11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11"/>
    </row>
    <row r="530" ht="12.75" customHeight="1">
      <c r="A530" s="11"/>
      <c r="B530" s="9"/>
      <c r="C530" s="11"/>
      <c r="D530" s="11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11"/>
    </row>
    <row r="531" ht="12.75" customHeight="1">
      <c r="A531" s="11"/>
      <c r="B531" s="9"/>
      <c r="C531" s="11"/>
      <c r="D531" s="11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11"/>
    </row>
    <row r="532" ht="12.75" customHeight="1">
      <c r="A532" s="11"/>
      <c r="B532" s="9"/>
      <c r="C532" s="11"/>
      <c r="D532" s="11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11"/>
    </row>
    <row r="533" ht="12.75" customHeight="1">
      <c r="A533" s="11"/>
      <c r="B533" s="9"/>
      <c r="C533" s="11"/>
      <c r="D533" s="11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11"/>
    </row>
    <row r="534" ht="12.75" customHeight="1">
      <c r="A534" s="11"/>
      <c r="B534" s="9"/>
      <c r="C534" s="11"/>
      <c r="D534" s="11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11"/>
    </row>
    <row r="535" ht="12.75" customHeight="1">
      <c r="A535" s="11"/>
      <c r="B535" s="9"/>
      <c r="C535" s="11"/>
      <c r="D535" s="11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11"/>
    </row>
    <row r="536" ht="12.75" customHeight="1">
      <c r="A536" s="11"/>
      <c r="B536" s="9"/>
      <c r="C536" s="11"/>
      <c r="D536" s="11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11"/>
    </row>
    <row r="537" ht="12.75" customHeight="1">
      <c r="A537" s="11"/>
      <c r="B537" s="9"/>
      <c r="C537" s="11"/>
      <c r="D537" s="11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11"/>
    </row>
    <row r="538" ht="12.75" customHeight="1">
      <c r="A538" s="11"/>
      <c r="B538" s="9"/>
      <c r="C538" s="11"/>
      <c r="D538" s="11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11"/>
    </row>
    <row r="539" ht="12.75" customHeight="1">
      <c r="A539" s="11"/>
      <c r="B539" s="9"/>
      <c r="C539" s="11"/>
      <c r="D539" s="11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11"/>
    </row>
    <row r="540" ht="12.75" customHeight="1">
      <c r="A540" s="11"/>
      <c r="B540" s="9"/>
      <c r="C540" s="11"/>
      <c r="D540" s="11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11"/>
    </row>
    <row r="541" ht="12.75" customHeight="1">
      <c r="A541" s="11"/>
      <c r="B541" s="9"/>
      <c r="C541" s="11"/>
      <c r="D541" s="11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11"/>
    </row>
    <row r="542" ht="12.75" customHeight="1">
      <c r="A542" s="11"/>
      <c r="B542" s="9"/>
      <c r="C542" s="11"/>
      <c r="D542" s="11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11"/>
    </row>
    <row r="543" ht="12.75" customHeight="1">
      <c r="A543" s="11"/>
      <c r="B543" s="9"/>
      <c r="C543" s="11"/>
      <c r="D543" s="11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11"/>
    </row>
    <row r="544" ht="12.75" customHeight="1">
      <c r="A544" s="11"/>
      <c r="B544" s="9"/>
      <c r="C544" s="11"/>
      <c r="D544" s="11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11"/>
    </row>
    <row r="545" ht="12.75" customHeight="1">
      <c r="A545" s="11"/>
      <c r="B545" s="9"/>
      <c r="C545" s="11"/>
      <c r="D545" s="11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11"/>
    </row>
    <row r="546" ht="12.75" customHeight="1">
      <c r="A546" s="11"/>
      <c r="B546" s="9"/>
      <c r="C546" s="11"/>
      <c r="D546" s="11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11"/>
    </row>
    <row r="547" ht="12.75" customHeight="1">
      <c r="A547" s="11"/>
      <c r="B547" s="9"/>
      <c r="C547" s="11"/>
      <c r="D547" s="11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11"/>
    </row>
    <row r="548" ht="12.75" customHeight="1">
      <c r="A548" s="11"/>
      <c r="B548" s="9"/>
      <c r="C548" s="11"/>
      <c r="D548" s="11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11"/>
    </row>
    <row r="549" ht="12.75" customHeight="1">
      <c r="A549" s="11"/>
      <c r="B549" s="9"/>
      <c r="C549" s="11"/>
      <c r="D549" s="11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11"/>
    </row>
    <row r="550" ht="12.75" customHeight="1">
      <c r="A550" s="11"/>
      <c r="B550" s="9"/>
      <c r="C550" s="11"/>
      <c r="D550" s="11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11"/>
    </row>
    <row r="551" ht="12.75" customHeight="1">
      <c r="A551" s="11"/>
      <c r="B551" s="9"/>
      <c r="C551" s="11"/>
      <c r="D551" s="11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11"/>
    </row>
    <row r="552" ht="12.75" customHeight="1">
      <c r="A552" s="11"/>
      <c r="B552" s="9"/>
      <c r="C552" s="11"/>
      <c r="D552" s="11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11"/>
    </row>
    <row r="553" ht="12.75" customHeight="1">
      <c r="A553" s="11"/>
      <c r="B553" s="9"/>
      <c r="C553" s="11"/>
      <c r="D553" s="11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11"/>
    </row>
    <row r="554" ht="12.75" customHeight="1">
      <c r="A554" s="11"/>
      <c r="B554" s="9"/>
      <c r="C554" s="11"/>
      <c r="D554" s="11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11"/>
    </row>
    <row r="555" ht="12.75" customHeight="1">
      <c r="A555" s="11"/>
      <c r="B555" s="9"/>
      <c r="C555" s="11"/>
      <c r="D555" s="11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11"/>
    </row>
    <row r="556" ht="12.75" customHeight="1">
      <c r="A556" s="11"/>
      <c r="B556" s="9"/>
      <c r="C556" s="11"/>
      <c r="D556" s="11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11"/>
    </row>
    <row r="557" ht="12.75" customHeight="1">
      <c r="A557" s="11"/>
      <c r="B557" s="9"/>
      <c r="C557" s="11"/>
      <c r="D557" s="11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11"/>
    </row>
    <row r="558" ht="12.75" customHeight="1">
      <c r="A558" s="11"/>
      <c r="B558" s="9"/>
      <c r="C558" s="11"/>
      <c r="D558" s="11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11"/>
    </row>
    <row r="559" ht="12.75" customHeight="1">
      <c r="A559" s="11"/>
      <c r="B559" s="9"/>
      <c r="C559" s="11"/>
      <c r="D559" s="11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11"/>
    </row>
    <row r="560" ht="12.75" customHeight="1">
      <c r="A560" s="11"/>
      <c r="B560" s="9"/>
      <c r="C560" s="11"/>
      <c r="D560" s="11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11"/>
    </row>
    <row r="561" ht="12.75" customHeight="1">
      <c r="A561" s="11"/>
      <c r="B561" s="9"/>
      <c r="C561" s="11"/>
      <c r="D561" s="11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11"/>
    </row>
    <row r="562" ht="12.75" customHeight="1">
      <c r="A562" s="11"/>
      <c r="B562" s="9"/>
      <c r="C562" s="11"/>
      <c r="D562" s="11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11"/>
    </row>
    <row r="563" ht="12.75" customHeight="1">
      <c r="A563" s="11"/>
      <c r="B563" s="9"/>
      <c r="C563" s="11"/>
      <c r="D563" s="11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11"/>
    </row>
    <row r="564" ht="12.75" customHeight="1">
      <c r="A564" s="11"/>
      <c r="B564" s="9"/>
      <c r="C564" s="11"/>
      <c r="D564" s="11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11"/>
    </row>
    <row r="565" ht="12.75" customHeight="1">
      <c r="A565" s="11"/>
      <c r="B565" s="9"/>
      <c r="C565" s="11"/>
      <c r="D565" s="11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11"/>
    </row>
    <row r="566" ht="12.75" customHeight="1">
      <c r="A566" s="11"/>
      <c r="B566" s="9"/>
      <c r="C566" s="11"/>
      <c r="D566" s="11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11"/>
    </row>
    <row r="567" ht="12.75" customHeight="1">
      <c r="A567" s="11"/>
      <c r="B567" s="9"/>
      <c r="C567" s="11"/>
      <c r="D567" s="11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11"/>
    </row>
    <row r="568" ht="12.75" customHeight="1">
      <c r="A568" s="11"/>
      <c r="B568" s="9"/>
      <c r="C568" s="11"/>
      <c r="D568" s="11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11"/>
    </row>
    <row r="569" ht="12.75" customHeight="1">
      <c r="A569" s="11"/>
      <c r="B569" s="9"/>
      <c r="C569" s="11"/>
      <c r="D569" s="11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11"/>
    </row>
    <row r="570" ht="12.75" customHeight="1">
      <c r="A570" s="11"/>
      <c r="B570" s="9"/>
      <c r="C570" s="11"/>
      <c r="D570" s="11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11"/>
    </row>
    <row r="571" ht="12.75" customHeight="1">
      <c r="A571" s="11"/>
      <c r="B571" s="9"/>
      <c r="C571" s="11"/>
      <c r="D571" s="11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11"/>
    </row>
    <row r="572" ht="12.75" customHeight="1">
      <c r="A572" s="11"/>
      <c r="B572" s="9"/>
      <c r="C572" s="11"/>
      <c r="D572" s="11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11"/>
    </row>
    <row r="573" ht="12.75" customHeight="1">
      <c r="A573" s="11"/>
      <c r="B573" s="9"/>
      <c r="C573" s="11"/>
      <c r="D573" s="11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11"/>
    </row>
    <row r="574" ht="12.75" customHeight="1">
      <c r="A574" s="11"/>
      <c r="B574" s="9"/>
      <c r="C574" s="11"/>
      <c r="D574" s="11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11"/>
    </row>
    <row r="575" ht="12.75" customHeight="1">
      <c r="A575" s="11"/>
      <c r="B575" s="9"/>
      <c r="C575" s="11"/>
      <c r="D575" s="11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11"/>
    </row>
    <row r="576" ht="12.75" customHeight="1">
      <c r="A576" s="11"/>
      <c r="B576" s="9"/>
      <c r="C576" s="11"/>
      <c r="D576" s="11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11"/>
    </row>
    <row r="577" ht="12.75" customHeight="1">
      <c r="A577" s="11"/>
      <c r="B577" s="9"/>
      <c r="C577" s="11"/>
      <c r="D577" s="11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11"/>
    </row>
    <row r="578" ht="12.75" customHeight="1">
      <c r="A578" s="11"/>
      <c r="B578" s="9"/>
      <c r="C578" s="11"/>
      <c r="D578" s="11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11"/>
    </row>
    <row r="579" ht="12.75" customHeight="1">
      <c r="A579" s="11"/>
      <c r="B579" s="9"/>
      <c r="C579" s="11"/>
      <c r="D579" s="11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11"/>
    </row>
    <row r="580" ht="12.75" customHeight="1">
      <c r="A580" s="11"/>
      <c r="B580" s="9"/>
      <c r="C580" s="11"/>
      <c r="D580" s="11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11"/>
    </row>
    <row r="581" ht="12.75" customHeight="1">
      <c r="A581" s="11"/>
      <c r="B581" s="9"/>
      <c r="C581" s="11"/>
      <c r="D581" s="11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11"/>
    </row>
    <row r="582" ht="12.75" customHeight="1">
      <c r="A582" s="11"/>
      <c r="B582" s="9"/>
      <c r="C582" s="11"/>
      <c r="D582" s="11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11"/>
    </row>
    <row r="583" ht="12.75" customHeight="1">
      <c r="A583" s="11"/>
      <c r="B583" s="9"/>
      <c r="C583" s="11"/>
      <c r="D583" s="11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11"/>
    </row>
    <row r="584" ht="12.75" customHeight="1">
      <c r="A584" s="11"/>
      <c r="B584" s="9"/>
      <c r="C584" s="11"/>
      <c r="D584" s="11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11"/>
    </row>
    <row r="585" ht="12.75" customHeight="1">
      <c r="A585" s="11"/>
      <c r="B585" s="9"/>
      <c r="C585" s="11"/>
      <c r="D585" s="11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11"/>
    </row>
    <row r="586" ht="12.75" customHeight="1">
      <c r="A586" s="11"/>
      <c r="B586" s="9"/>
      <c r="C586" s="11"/>
      <c r="D586" s="11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11"/>
    </row>
    <row r="587" ht="12.75" customHeight="1">
      <c r="A587" s="11"/>
      <c r="B587" s="9"/>
      <c r="C587" s="11"/>
      <c r="D587" s="11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11"/>
    </row>
    <row r="588" ht="12.75" customHeight="1">
      <c r="A588" s="11"/>
      <c r="B588" s="9"/>
      <c r="C588" s="11"/>
      <c r="D588" s="11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11"/>
    </row>
    <row r="589" ht="12.75" customHeight="1">
      <c r="A589" s="11"/>
      <c r="B589" s="9"/>
      <c r="C589" s="11"/>
      <c r="D589" s="11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11"/>
    </row>
    <row r="590" ht="12.75" customHeight="1">
      <c r="A590" s="11"/>
      <c r="B590" s="9"/>
      <c r="C590" s="11"/>
      <c r="D590" s="11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11"/>
    </row>
    <row r="591" ht="12.75" customHeight="1">
      <c r="A591" s="11"/>
      <c r="B591" s="9"/>
      <c r="C591" s="11"/>
      <c r="D591" s="11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11"/>
    </row>
    <row r="592" ht="12.75" customHeight="1">
      <c r="A592" s="11"/>
      <c r="B592" s="9"/>
      <c r="C592" s="11"/>
      <c r="D592" s="11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11"/>
    </row>
    <row r="593" ht="12.75" customHeight="1">
      <c r="A593" s="11"/>
      <c r="B593" s="9"/>
      <c r="C593" s="11"/>
      <c r="D593" s="11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11"/>
    </row>
    <row r="594" ht="12.75" customHeight="1">
      <c r="A594" s="11"/>
      <c r="B594" s="9"/>
      <c r="C594" s="11"/>
      <c r="D594" s="11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11"/>
    </row>
    <row r="595" ht="12.75" customHeight="1">
      <c r="A595" s="11"/>
      <c r="B595" s="9"/>
      <c r="C595" s="11"/>
      <c r="D595" s="11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11"/>
    </row>
    <row r="596" ht="12.75" customHeight="1">
      <c r="A596" s="11"/>
      <c r="B596" s="9"/>
      <c r="C596" s="11"/>
      <c r="D596" s="11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11"/>
    </row>
    <row r="597" ht="12.75" customHeight="1">
      <c r="A597" s="11"/>
      <c r="B597" s="9"/>
      <c r="C597" s="11"/>
      <c r="D597" s="11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11"/>
    </row>
    <row r="598" ht="12.75" customHeight="1">
      <c r="A598" s="11"/>
      <c r="B598" s="9"/>
      <c r="C598" s="11"/>
      <c r="D598" s="11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11"/>
    </row>
    <row r="599" ht="12.75" customHeight="1">
      <c r="A599" s="11"/>
      <c r="B599" s="9"/>
      <c r="C599" s="11"/>
      <c r="D599" s="11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11"/>
    </row>
    <row r="600" ht="12.75" customHeight="1">
      <c r="A600" s="11"/>
      <c r="B600" s="9"/>
      <c r="C600" s="11"/>
      <c r="D600" s="11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11"/>
    </row>
    <row r="601" ht="12.75" customHeight="1">
      <c r="A601" s="11"/>
      <c r="B601" s="9"/>
      <c r="C601" s="11"/>
      <c r="D601" s="11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11"/>
    </row>
    <row r="602" ht="12.75" customHeight="1">
      <c r="A602" s="11"/>
      <c r="B602" s="9"/>
      <c r="C602" s="11"/>
      <c r="D602" s="11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11"/>
    </row>
    <row r="603" ht="12.75" customHeight="1">
      <c r="A603" s="11"/>
      <c r="B603" s="9"/>
      <c r="C603" s="11"/>
      <c r="D603" s="11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11"/>
    </row>
    <row r="604" ht="12.75" customHeight="1">
      <c r="A604" s="11"/>
      <c r="B604" s="9"/>
      <c r="C604" s="11"/>
      <c r="D604" s="11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11"/>
    </row>
    <row r="605" ht="12.75" customHeight="1">
      <c r="A605" s="11"/>
      <c r="B605" s="9"/>
      <c r="C605" s="11"/>
      <c r="D605" s="11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11"/>
    </row>
    <row r="606" ht="12.75" customHeight="1">
      <c r="A606" s="11"/>
      <c r="B606" s="9"/>
      <c r="C606" s="11"/>
      <c r="D606" s="11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11"/>
    </row>
    <row r="607" ht="12.75" customHeight="1">
      <c r="A607" s="11"/>
      <c r="B607" s="9"/>
      <c r="C607" s="11"/>
      <c r="D607" s="11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11"/>
    </row>
    <row r="608" ht="12.75" customHeight="1">
      <c r="A608" s="11"/>
      <c r="B608" s="9"/>
      <c r="C608" s="11"/>
      <c r="D608" s="11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11"/>
    </row>
    <row r="609" ht="12.75" customHeight="1">
      <c r="A609" s="11"/>
      <c r="B609" s="9"/>
      <c r="C609" s="11"/>
      <c r="D609" s="11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11"/>
    </row>
    <row r="610" ht="12.75" customHeight="1">
      <c r="A610" s="11"/>
      <c r="B610" s="9"/>
      <c r="C610" s="11"/>
      <c r="D610" s="11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11"/>
    </row>
    <row r="611" ht="12.75" customHeight="1">
      <c r="A611" s="11"/>
      <c r="B611" s="9"/>
      <c r="C611" s="11"/>
      <c r="D611" s="11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11"/>
    </row>
    <row r="612" ht="12.75" customHeight="1">
      <c r="A612" s="11"/>
      <c r="B612" s="9"/>
      <c r="C612" s="11"/>
      <c r="D612" s="11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11"/>
    </row>
    <row r="613" ht="12.75" customHeight="1">
      <c r="A613" s="11"/>
      <c r="B613" s="9"/>
      <c r="C613" s="11"/>
      <c r="D613" s="11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11"/>
    </row>
    <row r="614" ht="12.75" customHeight="1">
      <c r="A614" s="11"/>
      <c r="B614" s="9"/>
      <c r="C614" s="11"/>
      <c r="D614" s="11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11"/>
    </row>
    <row r="615" ht="12.75" customHeight="1">
      <c r="A615" s="11"/>
      <c r="B615" s="9"/>
      <c r="C615" s="11"/>
      <c r="D615" s="11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11"/>
    </row>
    <row r="616" ht="12.75" customHeight="1">
      <c r="A616" s="11"/>
      <c r="B616" s="9"/>
      <c r="C616" s="11"/>
      <c r="D616" s="11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11"/>
    </row>
    <row r="617" ht="12.75" customHeight="1">
      <c r="A617" s="11"/>
      <c r="B617" s="9"/>
      <c r="C617" s="11"/>
      <c r="D617" s="11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11"/>
    </row>
    <row r="618" ht="12.75" customHeight="1">
      <c r="A618" s="11"/>
      <c r="B618" s="9"/>
      <c r="C618" s="11"/>
      <c r="D618" s="11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11"/>
    </row>
    <row r="619" ht="12.75" customHeight="1">
      <c r="A619" s="11"/>
      <c r="B619" s="9"/>
      <c r="C619" s="11"/>
      <c r="D619" s="11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11"/>
    </row>
    <row r="620" ht="12.75" customHeight="1">
      <c r="A620" s="11"/>
      <c r="B620" s="9"/>
      <c r="C620" s="11"/>
      <c r="D620" s="11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11"/>
    </row>
    <row r="621" ht="12.75" customHeight="1">
      <c r="A621" s="11"/>
      <c r="B621" s="9"/>
      <c r="C621" s="11"/>
      <c r="D621" s="11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11"/>
    </row>
    <row r="622" ht="12.75" customHeight="1">
      <c r="A622" s="11"/>
      <c r="B622" s="9"/>
      <c r="C622" s="11"/>
      <c r="D622" s="11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11"/>
    </row>
    <row r="623" ht="12.75" customHeight="1">
      <c r="A623" s="11"/>
      <c r="B623" s="9"/>
      <c r="C623" s="11"/>
      <c r="D623" s="11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11"/>
    </row>
    <row r="624" ht="12.75" customHeight="1">
      <c r="A624" s="11"/>
      <c r="B624" s="9"/>
      <c r="C624" s="11"/>
      <c r="D624" s="11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11"/>
    </row>
    <row r="625" ht="12.75" customHeight="1">
      <c r="A625" s="11"/>
      <c r="B625" s="9"/>
      <c r="C625" s="11"/>
      <c r="D625" s="11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11"/>
    </row>
    <row r="626" ht="12.75" customHeight="1">
      <c r="A626" s="11"/>
      <c r="B626" s="9"/>
      <c r="C626" s="11"/>
      <c r="D626" s="11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11"/>
    </row>
    <row r="627" ht="12.75" customHeight="1">
      <c r="A627" s="11"/>
      <c r="B627" s="9"/>
      <c r="C627" s="11"/>
      <c r="D627" s="11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11"/>
    </row>
    <row r="628" ht="12.75" customHeight="1">
      <c r="A628" s="11"/>
      <c r="B628" s="9"/>
      <c r="C628" s="11"/>
      <c r="D628" s="11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11"/>
    </row>
    <row r="629" ht="12.75" customHeight="1">
      <c r="A629" s="11"/>
      <c r="B629" s="9"/>
      <c r="C629" s="11"/>
      <c r="D629" s="11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11"/>
    </row>
    <row r="630" ht="12.75" customHeight="1">
      <c r="A630" s="11"/>
      <c r="B630" s="9"/>
      <c r="C630" s="11"/>
      <c r="D630" s="11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11"/>
    </row>
    <row r="631" ht="12.75" customHeight="1">
      <c r="A631" s="11"/>
      <c r="B631" s="9"/>
      <c r="C631" s="11"/>
      <c r="D631" s="11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11"/>
    </row>
    <row r="632" ht="12.75" customHeight="1">
      <c r="A632" s="11"/>
      <c r="B632" s="9"/>
      <c r="C632" s="11"/>
      <c r="D632" s="11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11"/>
    </row>
    <row r="633" ht="12.75" customHeight="1">
      <c r="A633" s="11"/>
      <c r="B633" s="9"/>
      <c r="C633" s="11"/>
      <c r="D633" s="11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11"/>
    </row>
    <row r="634" ht="12.75" customHeight="1">
      <c r="A634" s="11"/>
      <c r="B634" s="9"/>
      <c r="C634" s="11"/>
      <c r="D634" s="11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11"/>
    </row>
    <row r="635" ht="12.75" customHeight="1">
      <c r="A635" s="11"/>
      <c r="B635" s="9"/>
      <c r="C635" s="11"/>
      <c r="D635" s="11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11"/>
    </row>
    <row r="636" ht="12.75" customHeight="1">
      <c r="A636" s="11"/>
      <c r="B636" s="9"/>
      <c r="C636" s="11"/>
      <c r="D636" s="11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11"/>
    </row>
    <row r="637" ht="12.75" customHeight="1">
      <c r="A637" s="11"/>
      <c r="B637" s="9"/>
      <c r="C637" s="11"/>
      <c r="D637" s="11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11"/>
    </row>
    <row r="638" ht="12.75" customHeight="1">
      <c r="A638" s="11"/>
      <c r="B638" s="9"/>
      <c r="C638" s="11"/>
      <c r="D638" s="11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11"/>
    </row>
    <row r="639" ht="12.75" customHeight="1">
      <c r="A639" s="11"/>
      <c r="B639" s="9"/>
      <c r="C639" s="11"/>
      <c r="D639" s="11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11"/>
    </row>
    <row r="640" ht="12.75" customHeight="1">
      <c r="A640" s="11"/>
      <c r="B640" s="9"/>
      <c r="C640" s="11"/>
      <c r="D640" s="11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11"/>
    </row>
    <row r="641" ht="12.75" customHeight="1">
      <c r="A641" s="11"/>
      <c r="B641" s="9"/>
      <c r="C641" s="11"/>
      <c r="D641" s="11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11"/>
    </row>
    <row r="642" ht="12.75" customHeight="1">
      <c r="A642" s="11"/>
      <c r="B642" s="9"/>
      <c r="C642" s="11"/>
      <c r="D642" s="11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11"/>
    </row>
    <row r="643" ht="12.75" customHeight="1">
      <c r="A643" s="11"/>
      <c r="B643" s="9"/>
      <c r="C643" s="11"/>
      <c r="D643" s="11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11"/>
    </row>
    <row r="644" ht="12.75" customHeight="1">
      <c r="A644" s="11"/>
      <c r="B644" s="9"/>
      <c r="C644" s="11"/>
      <c r="D644" s="11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11"/>
    </row>
    <row r="645" ht="12.75" customHeight="1">
      <c r="A645" s="11"/>
      <c r="B645" s="9"/>
      <c r="C645" s="11"/>
      <c r="D645" s="11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11"/>
    </row>
    <row r="646" ht="12.75" customHeight="1">
      <c r="A646" s="11"/>
      <c r="B646" s="9"/>
      <c r="C646" s="11"/>
      <c r="D646" s="11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11"/>
    </row>
    <row r="647" ht="12.75" customHeight="1">
      <c r="A647" s="11"/>
      <c r="B647" s="9"/>
      <c r="C647" s="11"/>
      <c r="D647" s="11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11"/>
    </row>
    <row r="648" ht="12.75" customHeight="1">
      <c r="A648" s="11"/>
      <c r="B648" s="9"/>
      <c r="C648" s="11"/>
      <c r="D648" s="11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11"/>
    </row>
    <row r="649" ht="12.75" customHeight="1">
      <c r="A649" s="11"/>
      <c r="B649" s="9"/>
      <c r="C649" s="11"/>
      <c r="D649" s="11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11"/>
    </row>
    <row r="650" ht="12.75" customHeight="1">
      <c r="A650" s="11"/>
      <c r="B650" s="9"/>
      <c r="C650" s="11"/>
      <c r="D650" s="11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11"/>
    </row>
    <row r="651" ht="12.75" customHeight="1">
      <c r="A651" s="11"/>
      <c r="B651" s="9"/>
      <c r="C651" s="11"/>
      <c r="D651" s="11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11"/>
    </row>
    <row r="652" ht="12.75" customHeight="1">
      <c r="A652" s="11"/>
      <c r="B652" s="9"/>
      <c r="C652" s="11"/>
      <c r="D652" s="11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11"/>
    </row>
    <row r="653" ht="12.75" customHeight="1">
      <c r="A653" s="11"/>
      <c r="B653" s="9"/>
      <c r="C653" s="11"/>
      <c r="D653" s="11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11"/>
    </row>
    <row r="654" ht="12.75" customHeight="1">
      <c r="A654" s="11"/>
      <c r="B654" s="9"/>
      <c r="C654" s="11"/>
      <c r="D654" s="11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11"/>
    </row>
    <row r="655" ht="12.75" customHeight="1">
      <c r="A655" s="11"/>
      <c r="B655" s="9"/>
      <c r="C655" s="11"/>
      <c r="D655" s="11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11"/>
    </row>
    <row r="656" ht="12.75" customHeight="1">
      <c r="A656" s="11"/>
      <c r="B656" s="9"/>
      <c r="C656" s="11"/>
      <c r="D656" s="11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11"/>
    </row>
    <row r="657" ht="12.75" customHeight="1">
      <c r="A657" s="11"/>
      <c r="B657" s="9"/>
      <c r="C657" s="11"/>
      <c r="D657" s="11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11"/>
    </row>
    <row r="658" ht="12.75" customHeight="1">
      <c r="A658" s="11"/>
      <c r="B658" s="9"/>
      <c r="C658" s="11"/>
      <c r="D658" s="11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11"/>
    </row>
    <row r="659" ht="12.75" customHeight="1">
      <c r="A659" s="11"/>
      <c r="B659" s="9"/>
      <c r="C659" s="11"/>
      <c r="D659" s="11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11"/>
    </row>
    <row r="660" ht="12.75" customHeight="1">
      <c r="A660" s="11"/>
      <c r="B660" s="9"/>
      <c r="C660" s="11"/>
      <c r="D660" s="11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11"/>
    </row>
    <row r="661" ht="12.75" customHeight="1">
      <c r="A661" s="11"/>
      <c r="B661" s="9"/>
      <c r="C661" s="11"/>
      <c r="D661" s="11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11"/>
    </row>
    <row r="662" ht="12.75" customHeight="1">
      <c r="A662" s="11"/>
      <c r="B662" s="9"/>
      <c r="C662" s="11"/>
      <c r="D662" s="11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11"/>
    </row>
    <row r="663" ht="12.75" customHeight="1">
      <c r="A663" s="11"/>
      <c r="B663" s="9"/>
      <c r="C663" s="11"/>
      <c r="D663" s="11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11"/>
    </row>
    <row r="664" ht="12.75" customHeight="1">
      <c r="A664" s="11"/>
      <c r="B664" s="9"/>
      <c r="C664" s="11"/>
      <c r="D664" s="11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11"/>
    </row>
    <row r="665" ht="12.75" customHeight="1">
      <c r="A665" s="11"/>
      <c r="B665" s="9"/>
      <c r="C665" s="11"/>
      <c r="D665" s="11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11"/>
    </row>
    <row r="666" ht="12.75" customHeight="1">
      <c r="A666" s="11"/>
      <c r="B666" s="9"/>
      <c r="C666" s="11"/>
      <c r="D666" s="11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11"/>
    </row>
    <row r="667" ht="12.75" customHeight="1">
      <c r="A667" s="11"/>
      <c r="B667" s="9"/>
      <c r="C667" s="11"/>
      <c r="D667" s="11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11"/>
    </row>
    <row r="668" ht="12.75" customHeight="1">
      <c r="A668" s="11"/>
      <c r="B668" s="9"/>
      <c r="C668" s="11"/>
      <c r="D668" s="11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11"/>
    </row>
    <row r="669" ht="12.75" customHeight="1">
      <c r="A669" s="11"/>
      <c r="B669" s="9"/>
      <c r="C669" s="11"/>
      <c r="D669" s="11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11"/>
    </row>
    <row r="670" ht="12.75" customHeight="1">
      <c r="A670" s="11"/>
      <c r="B670" s="9"/>
      <c r="C670" s="11"/>
      <c r="D670" s="11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11"/>
    </row>
    <row r="671" ht="12.75" customHeight="1">
      <c r="A671" s="11"/>
      <c r="B671" s="9"/>
      <c r="C671" s="11"/>
      <c r="D671" s="11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11"/>
    </row>
    <row r="672" ht="12.75" customHeight="1">
      <c r="A672" s="11"/>
      <c r="B672" s="9"/>
      <c r="C672" s="11"/>
      <c r="D672" s="11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11"/>
    </row>
    <row r="673" ht="12.75" customHeight="1">
      <c r="A673" s="11"/>
      <c r="B673" s="9"/>
      <c r="C673" s="11"/>
      <c r="D673" s="11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11"/>
    </row>
    <row r="674" ht="12.75" customHeight="1">
      <c r="A674" s="11"/>
      <c r="B674" s="9"/>
      <c r="C674" s="11"/>
      <c r="D674" s="11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11"/>
    </row>
    <row r="675" ht="12.75" customHeight="1">
      <c r="A675" s="11"/>
      <c r="B675" s="9"/>
      <c r="C675" s="11"/>
      <c r="D675" s="11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11"/>
    </row>
    <row r="676" ht="12.75" customHeight="1">
      <c r="A676" s="11"/>
      <c r="B676" s="9"/>
      <c r="C676" s="11"/>
      <c r="D676" s="11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11"/>
    </row>
    <row r="677" ht="12.75" customHeight="1">
      <c r="A677" s="11"/>
      <c r="B677" s="9"/>
      <c r="C677" s="11"/>
      <c r="D677" s="11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11"/>
    </row>
    <row r="678" ht="12.75" customHeight="1">
      <c r="A678" s="11"/>
      <c r="B678" s="9"/>
      <c r="C678" s="11"/>
      <c r="D678" s="11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11"/>
    </row>
    <row r="679" ht="12.75" customHeight="1">
      <c r="A679" s="11"/>
      <c r="B679" s="9"/>
      <c r="C679" s="11"/>
      <c r="D679" s="11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11"/>
    </row>
    <row r="680" ht="12.75" customHeight="1">
      <c r="A680" s="11"/>
      <c r="B680" s="9"/>
      <c r="C680" s="11"/>
      <c r="D680" s="11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11"/>
    </row>
    <row r="681" ht="12.75" customHeight="1">
      <c r="A681" s="11"/>
      <c r="B681" s="9"/>
      <c r="C681" s="11"/>
      <c r="D681" s="11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11"/>
    </row>
    <row r="682" ht="12.75" customHeight="1">
      <c r="A682" s="11"/>
      <c r="B682" s="9"/>
      <c r="C682" s="11"/>
      <c r="D682" s="11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11"/>
    </row>
    <row r="683" ht="12.75" customHeight="1">
      <c r="A683" s="11"/>
      <c r="B683" s="9"/>
      <c r="C683" s="11"/>
      <c r="D683" s="11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11"/>
    </row>
    <row r="684" ht="12.75" customHeight="1">
      <c r="A684" s="11"/>
      <c r="B684" s="9"/>
      <c r="C684" s="11"/>
      <c r="D684" s="11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11"/>
    </row>
    <row r="685" ht="12.75" customHeight="1">
      <c r="A685" s="11"/>
      <c r="B685" s="9"/>
      <c r="C685" s="11"/>
      <c r="D685" s="11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11"/>
    </row>
    <row r="686" ht="12.75" customHeight="1">
      <c r="A686" s="11"/>
      <c r="B686" s="9"/>
      <c r="C686" s="11"/>
      <c r="D686" s="11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11"/>
    </row>
    <row r="687" ht="12.75" customHeight="1">
      <c r="A687" s="11"/>
      <c r="B687" s="9"/>
      <c r="C687" s="11"/>
      <c r="D687" s="11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11"/>
    </row>
    <row r="688" ht="12.75" customHeight="1">
      <c r="A688" s="11"/>
      <c r="B688" s="9"/>
      <c r="C688" s="11"/>
      <c r="D688" s="11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11"/>
    </row>
    <row r="689" ht="12.75" customHeight="1">
      <c r="A689" s="11"/>
      <c r="B689" s="9"/>
      <c r="C689" s="11"/>
      <c r="D689" s="11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11"/>
    </row>
    <row r="690" ht="12.75" customHeight="1">
      <c r="A690" s="11"/>
      <c r="B690" s="9"/>
      <c r="C690" s="11"/>
      <c r="D690" s="11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11"/>
    </row>
    <row r="691" ht="12.75" customHeight="1">
      <c r="A691" s="11"/>
      <c r="B691" s="9"/>
      <c r="C691" s="11"/>
      <c r="D691" s="11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11"/>
    </row>
    <row r="692" ht="12.75" customHeight="1">
      <c r="A692" s="11"/>
      <c r="B692" s="9"/>
      <c r="C692" s="11"/>
      <c r="D692" s="11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11"/>
    </row>
    <row r="693" ht="12.75" customHeight="1">
      <c r="A693" s="11"/>
      <c r="B693" s="9"/>
      <c r="C693" s="11"/>
      <c r="D693" s="11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11"/>
    </row>
    <row r="694" ht="12.75" customHeight="1">
      <c r="A694" s="11"/>
      <c r="B694" s="9"/>
      <c r="C694" s="11"/>
      <c r="D694" s="11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11"/>
    </row>
    <row r="695" ht="12.75" customHeight="1">
      <c r="A695" s="11"/>
      <c r="B695" s="9"/>
      <c r="C695" s="11"/>
      <c r="D695" s="11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11"/>
    </row>
    <row r="696" ht="12.75" customHeight="1">
      <c r="A696" s="11"/>
      <c r="B696" s="9"/>
      <c r="C696" s="11"/>
      <c r="D696" s="11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11"/>
    </row>
    <row r="697" ht="12.75" customHeight="1">
      <c r="A697" s="11"/>
      <c r="B697" s="9"/>
      <c r="C697" s="11"/>
      <c r="D697" s="11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11"/>
    </row>
    <row r="698" ht="12.75" customHeight="1">
      <c r="A698" s="11"/>
      <c r="B698" s="9"/>
      <c r="C698" s="11"/>
      <c r="D698" s="11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11"/>
    </row>
    <row r="699" ht="12.75" customHeight="1">
      <c r="A699" s="11"/>
      <c r="B699" s="9"/>
      <c r="C699" s="11"/>
      <c r="D699" s="11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11"/>
    </row>
    <row r="700" ht="12.75" customHeight="1">
      <c r="A700" s="11"/>
      <c r="B700" s="9"/>
      <c r="C700" s="11"/>
      <c r="D700" s="11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11"/>
    </row>
    <row r="701" ht="12.75" customHeight="1">
      <c r="A701" s="11"/>
      <c r="B701" s="9"/>
      <c r="C701" s="11"/>
      <c r="D701" s="11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11"/>
    </row>
    <row r="702" ht="12.75" customHeight="1">
      <c r="A702" s="11"/>
      <c r="B702" s="9"/>
      <c r="C702" s="11"/>
      <c r="D702" s="11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11"/>
    </row>
    <row r="703" ht="12.75" customHeight="1">
      <c r="A703" s="11"/>
      <c r="B703" s="9"/>
      <c r="C703" s="11"/>
      <c r="D703" s="11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11"/>
    </row>
    <row r="704" ht="12.75" customHeight="1">
      <c r="A704" s="11"/>
      <c r="B704" s="9"/>
      <c r="C704" s="11"/>
      <c r="D704" s="11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11"/>
    </row>
    <row r="705" ht="12.75" customHeight="1">
      <c r="A705" s="11"/>
      <c r="B705" s="9"/>
      <c r="C705" s="11"/>
      <c r="D705" s="11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11"/>
    </row>
    <row r="706" ht="12.75" customHeight="1">
      <c r="A706" s="11"/>
      <c r="B706" s="9"/>
      <c r="C706" s="11"/>
      <c r="D706" s="11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11"/>
    </row>
    <row r="707" ht="12.75" customHeight="1">
      <c r="A707" s="11"/>
      <c r="B707" s="9"/>
      <c r="C707" s="11"/>
      <c r="D707" s="11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11"/>
    </row>
    <row r="708" ht="12.75" customHeight="1">
      <c r="A708" s="11"/>
      <c r="B708" s="9"/>
      <c r="C708" s="11"/>
      <c r="D708" s="11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11"/>
    </row>
    <row r="709" ht="12.75" customHeight="1">
      <c r="A709" s="11"/>
      <c r="B709" s="9"/>
      <c r="C709" s="11"/>
      <c r="D709" s="11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11"/>
    </row>
    <row r="710" ht="12.75" customHeight="1">
      <c r="A710" s="11"/>
      <c r="B710" s="9"/>
      <c r="C710" s="11"/>
      <c r="D710" s="11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11"/>
    </row>
    <row r="711" ht="12.75" customHeight="1">
      <c r="A711" s="11"/>
      <c r="B711" s="9"/>
      <c r="C711" s="11"/>
      <c r="D711" s="11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11"/>
    </row>
    <row r="712" ht="12.75" customHeight="1">
      <c r="A712" s="11"/>
      <c r="B712" s="9"/>
      <c r="C712" s="11"/>
      <c r="D712" s="11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11"/>
    </row>
    <row r="713" ht="12.75" customHeight="1">
      <c r="A713" s="11"/>
      <c r="B713" s="9"/>
      <c r="C713" s="11"/>
      <c r="D713" s="11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11"/>
    </row>
    <row r="714" ht="12.75" customHeight="1">
      <c r="A714" s="11"/>
      <c r="B714" s="9"/>
      <c r="C714" s="11"/>
      <c r="D714" s="11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11"/>
    </row>
    <row r="715" ht="12.75" customHeight="1">
      <c r="A715" s="11"/>
      <c r="B715" s="9"/>
      <c r="C715" s="11"/>
      <c r="D715" s="11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11"/>
    </row>
    <row r="716" ht="12.75" customHeight="1">
      <c r="A716" s="11"/>
      <c r="B716" s="9"/>
      <c r="C716" s="11"/>
      <c r="D716" s="11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11"/>
    </row>
    <row r="717" ht="12.75" customHeight="1">
      <c r="A717" s="11"/>
      <c r="B717" s="9"/>
      <c r="C717" s="11"/>
      <c r="D717" s="11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11"/>
    </row>
    <row r="718" ht="12.75" customHeight="1">
      <c r="A718" s="11"/>
      <c r="B718" s="9"/>
      <c r="C718" s="11"/>
      <c r="D718" s="11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11"/>
    </row>
    <row r="719" ht="12.75" customHeight="1">
      <c r="A719" s="11"/>
      <c r="B719" s="9"/>
      <c r="C719" s="11"/>
      <c r="D719" s="11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11"/>
    </row>
    <row r="720" ht="12.75" customHeight="1">
      <c r="A720" s="11"/>
      <c r="B720" s="9"/>
      <c r="C720" s="11"/>
      <c r="D720" s="11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11"/>
    </row>
    <row r="721" ht="12.75" customHeight="1">
      <c r="A721" s="11"/>
      <c r="B721" s="9"/>
      <c r="C721" s="11"/>
      <c r="D721" s="11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11"/>
    </row>
    <row r="722" ht="12.75" customHeight="1">
      <c r="A722" s="11"/>
      <c r="B722" s="9"/>
      <c r="C722" s="11"/>
      <c r="D722" s="11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11"/>
    </row>
    <row r="723" ht="12.75" customHeight="1">
      <c r="A723" s="11"/>
      <c r="B723" s="9"/>
      <c r="C723" s="11"/>
      <c r="D723" s="11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11"/>
    </row>
    <row r="724" ht="12.75" customHeight="1">
      <c r="A724" s="11"/>
      <c r="B724" s="9"/>
      <c r="C724" s="11"/>
      <c r="D724" s="11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11"/>
    </row>
    <row r="725" ht="12.75" customHeight="1">
      <c r="A725" s="11"/>
      <c r="B725" s="9"/>
      <c r="C725" s="11"/>
      <c r="D725" s="11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11"/>
    </row>
    <row r="726" ht="12.75" customHeight="1">
      <c r="A726" s="11"/>
      <c r="B726" s="9"/>
      <c r="C726" s="11"/>
      <c r="D726" s="11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11"/>
    </row>
    <row r="727" ht="12.75" customHeight="1">
      <c r="A727" s="11"/>
      <c r="B727" s="9"/>
      <c r="C727" s="11"/>
      <c r="D727" s="11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11"/>
    </row>
    <row r="728" ht="12.75" customHeight="1">
      <c r="A728" s="11"/>
      <c r="B728" s="9"/>
      <c r="C728" s="11"/>
      <c r="D728" s="11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11"/>
    </row>
    <row r="729" ht="12.75" customHeight="1">
      <c r="A729" s="11"/>
      <c r="B729" s="9"/>
      <c r="C729" s="11"/>
      <c r="D729" s="11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11"/>
    </row>
    <row r="730" ht="12.75" customHeight="1">
      <c r="A730" s="11"/>
      <c r="B730" s="9"/>
      <c r="C730" s="11"/>
      <c r="D730" s="11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11"/>
    </row>
    <row r="731" ht="12.75" customHeight="1">
      <c r="A731" s="11"/>
      <c r="B731" s="9"/>
      <c r="C731" s="11"/>
      <c r="D731" s="11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11"/>
    </row>
    <row r="732" ht="12.75" customHeight="1">
      <c r="A732" s="11"/>
      <c r="B732" s="9"/>
      <c r="C732" s="11"/>
      <c r="D732" s="11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11"/>
    </row>
    <row r="733" ht="12.75" customHeight="1">
      <c r="A733" s="11"/>
      <c r="B733" s="9"/>
      <c r="C733" s="11"/>
      <c r="D733" s="11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11"/>
    </row>
    <row r="734" ht="12.75" customHeight="1">
      <c r="A734" s="11"/>
      <c r="B734" s="9"/>
      <c r="C734" s="11"/>
      <c r="D734" s="11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11"/>
    </row>
    <row r="735" ht="12.75" customHeight="1">
      <c r="A735" s="11"/>
      <c r="B735" s="9"/>
      <c r="C735" s="11"/>
      <c r="D735" s="11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11"/>
    </row>
    <row r="736" ht="12.75" customHeight="1">
      <c r="A736" s="11"/>
      <c r="B736" s="9"/>
      <c r="C736" s="11"/>
      <c r="D736" s="11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11"/>
    </row>
    <row r="737" ht="12.75" customHeight="1">
      <c r="A737" s="11"/>
      <c r="B737" s="9"/>
      <c r="C737" s="11"/>
      <c r="D737" s="11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11"/>
    </row>
    <row r="738" ht="12.75" customHeight="1">
      <c r="A738" s="11"/>
      <c r="B738" s="9"/>
      <c r="C738" s="11"/>
      <c r="D738" s="11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11"/>
    </row>
    <row r="739" ht="12.75" customHeight="1">
      <c r="A739" s="11"/>
      <c r="B739" s="9"/>
      <c r="C739" s="11"/>
      <c r="D739" s="11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11"/>
    </row>
    <row r="740" ht="12.75" customHeight="1">
      <c r="A740" s="11"/>
      <c r="B740" s="9"/>
      <c r="C740" s="11"/>
      <c r="D740" s="11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11"/>
    </row>
    <row r="741" ht="12.75" customHeight="1">
      <c r="A741" s="11"/>
      <c r="B741" s="9"/>
      <c r="C741" s="11"/>
      <c r="D741" s="11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11"/>
    </row>
    <row r="742" ht="12.75" customHeight="1">
      <c r="A742" s="11"/>
      <c r="B742" s="9"/>
      <c r="C742" s="11"/>
      <c r="D742" s="11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11"/>
    </row>
    <row r="743" ht="12.75" customHeight="1">
      <c r="A743" s="11"/>
      <c r="B743" s="9"/>
      <c r="C743" s="11"/>
      <c r="D743" s="11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11"/>
    </row>
    <row r="744" ht="12.75" customHeight="1">
      <c r="A744" s="11"/>
      <c r="B744" s="9"/>
      <c r="C744" s="11"/>
      <c r="D744" s="11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11"/>
    </row>
    <row r="745" ht="12.75" customHeight="1">
      <c r="A745" s="11"/>
      <c r="B745" s="9"/>
      <c r="C745" s="11"/>
      <c r="D745" s="11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11"/>
    </row>
    <row r="746" ht="12.75" customHeight="1">
      <c r="A746" s="11"/>
      <c r="B746" s="9"/>
      <c r="C746" s="11"/>
      <c r="D746" s="11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11"/>
    </row>
    <row r="747" ht="12.75" customHeight="1">
      <c r="A747" s="11"/>
      <c r="B747" s="9"/>
      <c r="C747" s="11"/>
      <c r="D747" s="11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11"/>
    </row>
    <row r="748" ht="12.75" customHeight="1">
      <c r="A748" s="11"/>
      <c r="B748" s="9"/>
      <c r="C748" s="11"/>
      <c r="D748" s="11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11"/>
    </row>
    <row r="749" ht="12.75" customHeight="1">
      <c r="A749" s="11"/>
      <c r="B749" s="9"/>
      <c r="C749" s="11"/>
      <c r="D749" s="11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11"/>
    </row>
    <row r="750" ht="12.75" customHeight="1">
      <c r="A750" s="11"/>
      <c r="B750" s="9"/>
      <c r="C750" s="11"/>
      <c r="D750" s="11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11"/>
    </row>
    <row r="751" ht="12.75" customHeight="1">
      <c r="A751" s="11"/>
      <c r="B751" s="9"/>
      <c r="C751" s="11"/>
      <c r="D751" s="11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11"/>
    </row>
    <row r="752" ht="12.75" customHeight="1">
      <c r="A752" s="11"/>
      <c r="B752" s="9"/>
      <c r="C752" s="11"/>
      <c r="D752" s="11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11"/>
    </row>
    <row r="753" ht="12.75" customHeight="1">
      <c r="A753" s="11"/>
      <c r="B753" s="9"/>
      <c r="C753" s="11"/>
      <c r="D753" s="11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11"/>
    </row>
    <row r="754" ht="12.75" customHeight="1">
      <c r="A754" s="11"/>
      <c r="B754" s="9"/>
      <c r="C754" s="11"/>
      <c r="D754" s="11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11"/>
    </row>
    <row r="755" ht="12.75" customHeight="1">
      <c r="A755" s="11"/>
      <c r="B755" s="9"/>
      <c r="C755" s="11"/>
      <c r="D755" s="11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11"/>
    </row>
    <row r="756" ht="12.75" customHeight="1">
      <c r="A756" s="11"/>
      <c r="B756" s="9"/>
      <c r="C756" s="11"/>
      <c r="D756" s="11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11"/>
    </row>
    <row r="757" ht="12.75" customHeight="1">
      <c r="A757" s="11"/>
      <c r="B757" s="9"/>
      <c r="C757" s="11"/>
      <c r="D757" s="11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11"/>
    </row>
    <row r="758" ht="12.75" customHeight="1">
      <c r="A758" s="11"/>
      <c r="B758" s="9"/>
      <c r="C758" s="11"/>
      <c r="D758" s="11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11"/>
    </row>
    <row r="759" ht="12.75" customHeight="1">
      <c r="A759" s="11"/>
      <c r="B759" s="9"/>
      <c r="C759" s="11"/>
      <c r="D759" s="11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11"/>
    </row>
    <row r="760" ht="12.75" customHeight="1">
      <c r="A760" s="11"/>
      <c r="B760" s="9"/>
      <c r="C760" s="11"/>
      <c r="D760" s="11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11"/>
    </row>
    <row r="761" ht="12.75" customHeight="1">
      <c r="A761" s="11"/>
      <c r="B761" s="9"/>
      <c r="C761" s="11"/>
      <c r="D761" s="11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11"/>
    </row>
    <row r="762" ht="12.75" customHeight="1">
      <c r="A762" s="11"/>
      <c r="B762" s="9"/>
      <c r="C762" s="11"/>
      <c r="D762" s="11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11"/>
    </row>
    <row r="763" ht="12.75" customHeight="1">
      <c r="A763" s="11"/>
      <c r="B763" s="9"/>
      <c r="C763" s="11"/>
      <c r="D763" s="11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11"/>
    </row>
    <row r="764" ht="12.75" customHeight="1">
      <c r="A764" s="11"/>
      <c r="B764" s="9"/>
      <c r="C764" s="11"/>
      <c r="D764" s="11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11"/>
    </row>
    <row r="765" ht="12.75" customHeight="1">
      <c r="A765" s="11"/>
      <c r="B765" s="9"/>
      <c r="C765" s="11"/>
      <c r="D765" s="11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11"/>
    </row>
    <row r="766" ht="12.75" customHeight="1">
      <c r="A766" s="11"/>
      <c r="B766" s="9"/>
      <c r="C766" s="11"/>
      <c r="D766" s="11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11"/>
    </row>
    <row r="767" ht="12.75" customHeight="1">
      <c r="A767" s="11"/>
      <c r="B767" s="9"/>
      <c r="C767" s="11"/>
      <c r="D767" s="11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11"/>
    </row>
    <row r="768" ht="12.75" customHeight="1">
      <c r="A768" s="11"/>
      <c r="B768" s="9"/>
      <c r="C768" s="11"/>
      <c r="D768" s="11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11"/>
    </row>
    <row r="769" ht="12.75" customHeight="1">
      <c r="A769" s="11"/>
      <c r="B769" s="9"/>
      <c r="C769" s="11"/>
      <c r="D769" s="11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11"/>
    </row>
    <row r="770" ht="12.75" customHeight="1">
      <c r="A770" s="11"/>
      <c r="B770" s="9"/>
      <c r="C770" s="11"/>
      <c r="D770" s="11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11"/>
    </row>
    <row r="771" ht="12.75" customHeight="1">
      <c r="A771" s="11"/>
      <c r="B771" s="9"/>
      <c r="C771" s="11"/>
      <c r="D771" s="11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11"/>
    </row>
    <row r="772" ht="12.75" customHeight="1">
      <c r="A772" s="11"/>
      <c r="B772" s="9"/>
      <c r="C772" s="11"/>
      <c r="D772" s="11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11"/>
    </row>
    <row r="773" ht="12.75" customHeight="1">
      <c r="A773" s="11"/>
      <c r="B773" s="9"/>
      <c r="C773" s="11"/>
      <c r="D773" s="11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11"/>
    </row>
    <row r="774" ht="12.75" customHeight="1">
      <c r="A774" s="11"/>
      <c r="B774" s="9"/>
      <c r="C774" s="11"/>
      <c r="D774" s="11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11"/>
    </row>
    <row r="775" ht="12.75" customHeight="1">
      <c r="A775" s="11"/>
      <c r="B775" s="9"/>
      <c r="C775" s="11"/>
      <c r="D775" s="11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11"/>
    </row>
    <row r="776" ht="12.75" customHeight="1">
      <c r="A776" s="11"/>
      <c r="B776" s="9"/>
      <c r="C776" s="11"/>
      <c r="D776" s="11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11"/>
    </row>
    <row r="777" ht="12.75" customHeight="1">
      <c r="A777" s="11"/>
      <c r="B777" s="9"/>
      <c r="C777" s="11"/>
      <c r="D777" s="11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11"/>
    </row>
    <row r="778" ht="12.75" customHeight="1">
      <c r="A778" s="11"/>
      <c r="B778" s="9"/>
      <c r="C778" s="11"/>
      <c r="D778" s="11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11"/>
    </row>
    <row r="779" ht="12.75" customHeight="1">
      <c r="A779" s="11"/>
      <c r="B779" s="9"/>
      <c r="C779" s="11"/>
      <c r="D779" s="11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11"/>
    </row>
    <row r="780" ht="12.75" customHeight="1">
      <c r="A780" s="11"/>
      <c r="B780" s="9"/>
      <c r="C780" s="11"/>
      <c r="D780" s="11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11"/>
    </row>
    <row r="781" ht="12.75" customHeight="1">
      <c r="A781" s="11"/>
      <c r="B781" s="9"/>
      <c r="C781" s="11"/>
      <c r="D781" s="11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11"/>
    </row>
    <row r="782" ht="12.75" customHeight="1">
      <c r="A782" s="11"/>
      <c r="B782" s="9"/>
      <c r="C782" s="11"/>
      <c r="D782" s="11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11"/>
    </row>
    <row r="783" ht="12.75" customHeight="1">
      <c r="A783" s="11"/>
      <c r="B783" s="9"/>
      <c r="C783" s="11"/>
      <c r="D783" s="11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11"/>
    </row>
    <row r="784" ht="12.75" customHeight="1">
      <c r="A784" s="11"/>
      <c r="B784" s="9"/>
      <c r="C784" s="11"/>
      <c r="D784" s="11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11"/>
    </row>
    <row r="785" ht="12.75" customHeight="1">
      <c r="A785" s="11"/>
      <c r="B785" s="9"/>
      <c r="C785" s="11"/>
      <c r="D785" s="11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11"/>
    </row>
    <row r="786" ht="12.75" customHeight="1">
      <c r="A786" s="11"/>
      <c r="B786" s="9"/>
      <c r="C786" s="11"/>
      <c r="D786" s="11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11"/>
    </row>
    <row r="787" ht="12.75" customHeight="1">
      <c r="A787" s="11"/>
      <c r="B787" s="9"/>
      <c r="C787" s="11"/>
      <c r="D787" s="11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11"/>
    </row>
    <row r="788" ht="12.75" customHeight="1">
      <c r="A788" s="11"/>
      <c r="B788" s="9"/>
      <c r="C788" s="11"/>
      <c r="D788" s="11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11"/>
    </row>
    <row r="789" ht="12.75" customHeight="1">
      <c r="A789" s="11"/>
      <c r="B789" s="9"/>
      <c r="C789" s="11"/>
      <c r="D789" s="11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11"/>
    </row>
    <row r="790" ht="12.75" customHeight="1">
      <c r="A790" s="11"/>
      <c r="B790" s="9"/>
      <c r="C790" s="11"/>
      <c r="D790" s="11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11"/>
    </row>
    <row r="791" ht="12.75" customHeight="1">
      <c r="A791" s="11"/>
      <c r="B791" s="9"/>
      <c r="C791" s="11"/>
      <c r="D791" s="11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11"/>
    </row>
    <row r="792" ht="12.75" customHeight="1">
      <c r="A792" s="11"/>
      <c r="B792" s="9"/>
      <c r="C792" s="11"/>
      <c r="D792" s="11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11"/>
    </row>
    <row r="793" ht="12.75" customHeight="1">
      <c r="A793" s="11"/>
      <c r="B793" s="9"/>
      <c r="C793" s="11"/>
      <c r="D793" s="11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11"/>
    </row>
    <row r="794" ht="12.75" customHeight="1">
      <c r="A794" s="11"/>
      <c r="B794" s="9"/>
      <c r="C794" s="11"/>
      <c r="D794" s="11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11"/>
    </row>
    <row r="795" ht="12.75" customHeight="1">
      <c r="A795" s="11"/>
      <c r="B795" s="9"/>
      <c r="C795" s="11"/>
      <c r="D795" s="11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11"/>
    </row>
    <row r="796" ht="12.75" customHeight="1">
      <c r="A796" s="11"/>
      <c r="B796" s="9"/>
      <c r="C796" s="11"/>
      <c r="D796" s="11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11"/>
    </row>
    <row r="797" ht="12.75" customHeight="1">
      <c r="A797" s="11"/>
      <c r="B797" s="9"/>
      <c r="C797" s="11"/>
      <c r="D797" s="11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11"/>
    </row>
    <row r="798" ht="12.75" customHeight="1">
      <c r="A798" s="11"/>
      <c r="B798" s="9"/>
      <c r="C798" s="11"/>
      <c r="D798" s="11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11"/>
    </row>
    <row r="799" ht="12.75" customHeight="1">
      <c r="A799" s="11"/>
      <c r="B799" s="9"/>
      <c r="C799" s="11"/>
      <c r="D799" s="11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11"/>
    </row>
    <row r="800" ht="12.75" customHeight="1">
      <c r="A800" s="11"/>
      <c r="B800" s="9"/>
      <c r="C800" s="11"/>
      <c r="D800" s="11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11"/>
    </row>
    <row r="801" ht="12.75" customHeight="1">
      <c r="A801" s="11"/>
      <c r="B801" s="9"/>
      <c r="C801" s="11"/>
      <c r="D801" s="11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11"/>
    </row>
    <row r="802" ht="12.75" customHeight="1">
      <c r="A802" s="11"/>
      <c r="B802" s="9"/>
      <c r="C802" s="11"/>
      <c r="D802" s="11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11"/>
    </row>
    <row r="803" ht="12.75" customHeight="1">
      <c r="A803" s="11"/>
      <c r="B803" s="9"/>
      <c r="C803" s="11"/>
      <c r="D803" s="11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11"/>
    </row>
    <row r="804" ht="12.75" customHeight="1">
      <c r="A804" s="11"/>
      <c r="B804" s="9"/>
      <c r="C804" s="11"/>
      <c r="D804" s="11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11"/>
    </row>
    <row r="805" ht="12.75" customHeight="1">
      <c r="A805" s="11"/>
      <c r="B805" s="9"/>
      <c r="C805" s="11"/>
      <c r="D805" s="11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11"/>
    </row>
    <row r="806" ht="12.75" customHeight="1">
      <c r="A806" s="11"/>
      <c r="B806" s="9"/>
      <c r="C806" s="11"/>
      <c r="D806" s="11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11"/>
    </row>
    <row r="807" ht="12.75" customHeight="1">
      <c r="A807" s="11"/>
      <c r="B807" s="9"/>
      <c r="C807" s="11"/>
      <c r="D807" s="11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11"/>
    </row>
    <row r="808" ht="12.75" customHeight="1">
      <c r="A808" s="11"/>
      <c r="B808" s="9"/>
      <c r="C808" s="11"/>
      <c r="D808" s="11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11"/>
    </row>
    <row r="809" ht="12.75" customHeight="1">
      <c r="A809" s="11"/>
      <c r="B809" s="9"/>
      <c r="C809" s="11"/>
      <c r="D809" s="11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11"/>
    </row>
    <row r="810" ht="12.75" customHeight="1">
      <c r="A810" s="11"/>
      <c r="B810" s="9"/>
      <c r="C810" s="11"/>
      <c r="D810" s="11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11"/>
    </row>
    <row r="811" ht="12.75" customHeight="1">
      <c r="A811" s="11"/>
      <c r="B811" s="9"/>
      <c r="C811" s="11"/>
      <c r="D811" s="11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11"/>
    </row>
    <row r="812" ht="12.75" customHeight="1">
      <c r="A812" s="11"/>
      <c r="B812" s="9"/>
      <c r="C812" s="11"/>
      <c r="D812" s="11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11"/>
    </row>
    <row r="813" ht="12.75" customHeight="1">
      <c r="A813" s="11"/>
      <c r="B813" s="9"/>
      <c r="C813" s="11"/>
      <c r="D813" s="11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11"/>
    </row>
    <row r="814" ht="12.75" customHeight="1">
      <c r="A814" s="11"/>
      <c r="B814" s="9"/>
      <c r="C814" s="11"/>
      <c r="D814" s="11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11"/>
    </row>
    <row r="815" ht="12.75" customHeight="1">
      <c r="A815" s="11"/>
      <c r="B815" s="9"/>
      <c r="C815" s="11"/>
      <c r="D815" s="11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11"/>
    </row>
    <row r="816" ht="12.75" customHeight="1">
      <c r="A816" s="11"/>
      <c r="B816" s="9"/>
      <c r="C816" s="11"/>
      <c r="D816" s="11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11"/>
    </row>
    <row r="817" ht="12.75" customHeight="1">
      <c r="A817" s="11"/>
      <c r="B817" s="9"/>
      <c r="C817" s="11"/>
      <c r="D817" s="11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11"/>
    </row>
    <row r="818" ht="12.75" customHeight="1">
      <c r="A818" s="11"/>
      <c r="B818" s="9"/>
      <c r="C818" s="11"/>
      <c r="D818" s="11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11"/>
    </row>
    <row r="819" ht="12.75" customHeight="1">
      <c r="A819" s="11"/>
      <c r="B819" s="9"/>
      <c r="C819" s="11"/>
      <c r="D819" s="11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11"/>
    </row>
    <row r="820" ht="12.75" customHeight="1">
      <c r="A820" s="11"/>
      <c r="B820" s="9"/>
      <c r="C820" s="11"/>
      <c r="D820" s="11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11"/>
    </row>
    <row r="821" ht="12.75" customHeight="1">
      <c r="A821" s="11"/>
      <c r="B821" s="9"/>
      <c r="C821" s="11"/>
      <c r="D821" s="11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11"/>
    </row>
    <row r="822" ht="12.75" customHeight="1">
      <c r="A822" s="11"/>
      <c r="B822" s="9"/>
      <c r="C822" s="11"/>
      <c r="D822" s="11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11"/>
    </row>
    <row r="823" ht="12.75" customHeight="1">
      <c r="A823" s="11"/>
      <c r="B823" s="9"/>
      <c r="C823" s="11"/>
      <c r="D823" s="11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11"/>
    </row>
    <row r="824" ht="12.75" customHeight="1">
      <c r="A824" s="11"/>
      <c r="B824" s="9"/>
      <c r="C824" s="11"/>
      <c r="D824" s="11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11"/>
    </row>
    <row r="825" ht="12.75" customHeight="1">
      <c r="A825" s="11"/>
      <c r="B825" s="9"/>
      <c r="C825" s="11"/>
      <c r="D825" s="11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11"/>
    </row>
    <row r="826" ht="12.75" customHeight="1">
      <c r="A826" s="11"/>
      <c r="B826" s="9"/>
      <c r="C826" s="11"/>
      <c r="D826" s="11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11"/>
    </row>
    <row r="827" ht="12.75" customHeight="1">
      <c r="A827" s="11"/>
      <c r="B827" s="9"/>
      <c r="C827" s="11"/>
      <c r="D827" s="11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11"/>
    </row>
    <row r="828" ht="12.75" customHeight="1">
      <c r="A828" s="11"/>
      <c r="B828" s="9"/>
      <c r="C828" s="11"/>
      <c r="D828" s="11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11"/>
    </row>
    <row r="829" ht="12.75" customHeight="1">
      <c r="A829" s="11"/>
      <c r="B829" s="9"/>
      <c r="C829" s="11"/>
      <c r="D829" s="11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11"/>
    </row>
    <row r="830" ht="12.75" customHeight="1">
      <c r="A830" s="11"/>
      <c r="B830" s="9"/>
      <c r="C830" s="11"/>
      <c r="D830" s="11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11"/>
    </row>
    <row r="831" ht="12.75" customHeight="1">
      <c r="A831" s="11"/>
      <c r="B831" s="9"/>
      <c r="C831" s="11"/>
      <c r="D831" s="11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11"/>
    </row>
    <row r="832" ht="12.75" customHeight="1">
      <c r="A832" s="11"/>
      <c r="B832" s="9"/>
      <c r="C832" s="11"/>
      <c r="D832" s="11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11"/>
    </row>
    <row r="833" ht="12.75" customHeight="1">
      <c r="A833" s="11"/>
      <c r="B833" s="9"/>
      <c r="C833" s="11"/>
      <c r="D833" s="11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11"/>
    </row>
    <row r="834" ht="12.75" customHeight="1">
      <c r="A834" s="11"/>
      <c r="B834" s="9"/>
      <c r="C834" s="11"/>
      <c r="D834" s="11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11"/>
    </row>
    <row r="835" ht="12.75" customHeight="1">
      <c r="A835" s="11"/>
      <c r="B835" s="9"/>
      <c r="C835" s="11"/>
      <c r="D835" s="11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11"/>
    </row>
    <row r="836" ht="12.75" customHeight="1">
      <c r="A836" s="11"/>
      <c r="B836" s="9"/>
      <c r="C836" s="11"/>
      <c r="D836" s="11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11"/>
    </row>
    <row r="837" ht="12.75" customHeight="1">
      <c r="A837" s="11"/>
      <c r="B837" s="9"/>
      <c r="C837" s="11"/>
      <c r="D837" s="11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11"/>
    </row>
    <row r="838" ht="12.75" customHeight="1">
      <c r="A838" s="11"/>
      <c r="B838" s="9"/>
      <c r="C838" s="11"/>
      <c r="D838" s="11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11"/>
    </row>
    <row r="839" ht="12.75" customHeight="1">
      <c r="A839" s="11"/>
      <c r="B839" s="9"/>
      <c r="C839" s="11"/>
      <c r="D839" s="11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11"/>
    </row>
    <row r="840" ht="12.75" customHeight="1">
      <c r="A840" s="11"/>
      <c r="B840" s="9"/>
      <c r="C840" s="11"/>
      <c r="D840" s="11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11"/>
    </row>
    <row r="841" ht="12.75" customHeight="1">
      <c r="A841" s="11"/>
      <c r="B841" s="9"/>
      <c r="C841" s="11"/>
      <c r="D841" s="11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11"/>
    </row>
    <row r="842" ht="12.75" customHeight="1">
      <c r="A842" s="11"/>
      <c r="B842" s="9"/>
      <c r="C842" s="11"/>
      <c r="D842" s="11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11"/>
    </row>
    <row r="843" ht="12.75" customHeight="1">
      <c r="A843" s="11"/>
      <c r="B843" s="9"/>
      <c r="C843" s="11"/>
      <c r="D843" s="11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11"/>
    </row>
    <row r="844" ht="12.75" customHeight="1">
      <c r="A844" s="11"/>
      <c r="B844" s="9"/>
      <c r="C844" s="11"/>
      <c r="D844" s="11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11"/>
    </row>
    <row r="845" ht="12.75" customHeight="1">
      <c r="A845" s="11"/>
      <c r="B845" s="9"/>
      <c r="C845" s="11"/>
      <c r="D845" s="11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11"/>
    </row>
    <row r="846" ht="12.75" customHeight="1">
      <c r="A846" s="11"/>
      <c r="B846" s="9"/>
      <c r="C846" s="11"/>
      <c r="D846" s="11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11"/>
    </row>
    <row r="847" ht="12.75" customHeight="1">
      <c r="A847" s="11"/>
      <c r="B847" s="9"/>
      <c r="C847" s="11"/>
      <c r="D847" s="11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11"/>
    </row>
    <row r="848" ht="12.75" customHeight="1">
      <c r="A848" s="11"/>
      <c r="B848" s="9"/>
      <c r="C848" s="11"/>
      <c r="D848" s="11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11"/>
    </row>
    <row r="849" ht="12.75" customHeight="1">
      <c r="A849" s="11"/>
      <c r="B849" s="9"/>
      <c r="C849" s="11"/>
      <c r="D849" s="11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11"/>
    </row>
    <row r="850" ht="12.75" customHeight="1">
      <c r="A850" s="11"/>
      <c r="B850" s="9"/>
      <c r="C850" s="11"/>
      <c r="D850" s="11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11"/>
    </row>
    <row r="851" ht="12.75" customHeight="1">
      <c r="A851" s="11"/>
      <c r="B851" s="9"/>
      <c r="C851" s="11"/>
      <c r="D851" s="11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11"/>
    </row>
    <row r="852" ht="12.75" customHeight="1">
      <c r="A852" s="11"/>
      <c r="B852" s="9"/>
      <c r="C852" s="11"/>
      <c r="D852" s="11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11"/>
    </row>
    <row r="853" ht="12.75" customHeight="1">
      <c r="A853" s="11"/>
      <c r="B853" s="9"/>
      <c r="C853" s="11"/>
      <c r="D853" s="11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11"/>
    </row>
    <row r="854" ht="12.75" customHeight="1">
      <c r="A854" s="11"/>
      <c r="B854" s="9"/>
      <c r="C854" s="11"/>
      <c r="D854" s="11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11"/>
    </row>
    <row r="855" ht="12.75" customHeight="1">
      <c r="A855" s="11"/>
      <c r="B855" s="9"/>
      <c r="C855" s="11"/>
      <c r="D855" s="11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11"/>
    </row>
    <row r="856" ht="12.75" customHeight="1">
      <c r="A856" s="11"/>
      <c r="B856" s="9"/>
      <c r="C856" s="11"/>
      <c r="D856" s="11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11"/>
    </row>
    <row r="857" ht="12.75" customHeight="1">
      <c r="A857" s="11"/>
      <c r="B857" s="9"/>
      <c r="C857" s="11"/>
      <c r="D857" s="11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11"/>
    </row>
    <row r="858" ht="12.75" customHeight="1">
      <c r="A858" s="11"/>
      <c r="B858" s="9"/>
      <c r="C858" s="11"/>
      <c r="D858" s="11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11"/>
    </row>
    <row r="859" ht="12.75" customHeight="1">
      <c r="A859" s="11"/>
      <c r="B859" s="9"/>
      <c r="C859" s="11"/>
      <c r="D859" s="11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11"/>
    </row>
    <row r="860" ht="12.75" customHeight="1">
      <c r="A860" s="11"/>
      <c r="B860" s="9"/>
      <c r="C860" s="11"/>
      <c r="D860" s="11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11"/>
    </row>
    <row r="861" ht="12.75" customHeight="1">
      <c r="A861" s="11"/>
      <c r="B861" s="9"/>
      <c r="C861" s="11"/>
      <c r="D861" s="11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11"/>
    </row>
    <row r="862" ht="12.75" customHeight="1">
      <c r="A862" s="11"/>
      <c r="B862" s="9"/>
      <c r="C862" s="11"/>
      <c r="D862" s="11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11"/>
    </row>
    <row r="863" ht="12.75" customHeight="1">
      <c r="A863" s="11"/>
      <c r="B863" s="9"/>
      <c r="C863" s="11"/>
      <c r="D863" s="11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11"/>
    </row>
    <row r="864" ht="12.75" customHeight="1">
      <c r="A864" s="11"/>
      <c r="B864" s="9"/>
      <c r="C864" s="11"/>
      <c r="D864" s="11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11"/>
    </row>
    <row r="865" ht="12.75" customHeight="1">
      <c r="A865" s="11"/>
      <c r="B865" s="9"/>
      <c r="C865" s="11"/>
      <c r="D865" s="11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11"/>
    </row>
    <row r="866" ht="12.75" customHeight="1">
      <c r="A866" s="11"/>
      <c r="B866" s="9"/>
      <c r="C866" s="11"/>
      <c r="D866" s="11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11"/>
    </row>
    <row r="867" ht="12.75" customHeight="1">
      <c r="A867" s="11"/>
      <c r="B867" s="9"/>
      <c r="C867" s="11"/>
      <c r="D867" s="11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11"/>
    </row>
    <row r="868" ht="12.75" customHeight="1">
      <c r="A868" s="11"/>
      <c r="B868" s="9"/>
      <c r="C868" s="11"/>
      <c r="D868" s="11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11"/>
    </row>
    <row r="869" ht="12.75" customHeight="1">
      <c r="A869" s="11"/>
      <c r="B869" s="9"/>
      <c r="C869" s="11"/>
      <c r="D869" s="11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11"/>
    </row>
    <row r="870" ht="12.75" customHeight="1">
      <c r="A870" s="11"/>
      <c r="B870" s="9"/>
      <c r="C870" s="11"/>
      <c r="D870" s="11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11"/>
    </row>
    <row r="871" ht="12.75" customHeight="1">
      <c r="A871" s="11"/>
      <c r="B871" s="9"/>
      <c r="C871" s="11"/>
      <c r="D871" s="11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11"/>
    </row>
    <row r="872" ht="12.75" customHeight="1">
      <c r="A872" s="11"/>
      <c r="B872" s="9"/>
      <c r="C872" s="11"/>
      <c r="D872" s="11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11"/>
    </row>
    <row r="873" ht="12.75" customHeight="1">
      <c r="A873" s="11"/>
      <c r="B873" s="9"/>
      <c r="C873" s="11"/>
      <c r="D873" s="11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11"/>
    </row>
    <row r="874" ht="12.75" customHeight="1">
      <c r="A874" s="11"/>
      <c r="B874" s="9"/>
      <c r="C874" s="11"/>
      <c r="D874" s="11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11"/>
    </row>
    <row r="875" ht="12.75" customHeight="1">
      <c r="A875" s="11"/>
      <c r="B875" s="9"/>
      <c r="C875" s="11"/>
      <c r="D875" s="11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11"/>
    </row>
    <row r="876" ht="12.75" customHeight="1">
      <c r="A876" s="11"/>
      <c r="B876" s="9"/>
      <c r="C876" s="11"/>
      <c r="D876" s="11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11"/>
    </row>
    <row r="877" ht="12.75" customHeight="1">
      <c r="A877" s="11"/>
      <c r="B877" s="9"/>
      <c r="C877" s="11"/>
      <c r="D877" s="11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11"/>
    </row>
    <row r="878" ht="12.75" customHeight="1">
      <c r="A878" s="11"/>
      <c r="B878" s="9"/>
      <c r="C878" s="11"/>
      <c r="D878" s="11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11"/>
    </row>
    <row r="879" ht="12.75" customHeight="1">
      <c r="A879" s="11"/>
      <c r="B879" s="9"/>
      <c r="C879" s="11"/>
      <c r="D879" s="11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11"/>
    </row>
    <row r="880" ht="12.75" customHeight="1">
      <c r="A880" s="11"/>
      <c r="B880" s="9"/>
      <c r="C880" s="11"/>
      <c r="D880" s="11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11"/>
    </row>
    <row r="881" ht="12.75" customHeight="1">
      <c r="A881" s="11"/>
      <c r="B881" s="9"/>
      <c r="C881" s="11"/>
      <c r="D881" s="11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11"/>
    </row>
    <row r="882" ht="12.75" customHeight="1">
      <c r="A882" s="11"/>
      <c r="B882" s="9"/>
      <c r="C882" s="11"/>
      <c r="D882" s="11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11"/>
    </row>
    <row r="883" ht="12.75" customHeight="1">
      <c r="A883" s="11"/>
      <c r="B883" s="9"/>
      <c r="C883" s="11"/>
      <c r="D883" s="11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11"/>
    </row>
    <row r="884" ht="12.75" customHeight="1">
      <c r="A884" s="11"/>
      <c r="B884" s="9"/>
      <c r="C884" s="11"/>
      <c r="D884" s="11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11"/>
    </row>
    <row r="885" ht="12.75" customHeight="1">
      <c r="A885" s="11"/>
      <c r="B885" s="9"/>
      <c r="C885" s="11"/>
      <c r="D885" s="11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11"/>
    </row>
    <row r="886" ht="12.75" customHeight="1">
      <c r="A886" s="11"/>
      <c r="B886" s="9"/>
      <c r="C886" s="11"/>
      <c r="D886" s="11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11"/>
    </row>
    <row r="887" ht="12.75" customHeight="1">
      <c r="A887" s="11"/>
      <c r="B887" s="9"/>
      <c r="C887" s="11"/>
      <c r="D887" s="11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11"/>
    </row>
    <row r="888" ht="12.75" customHeight="1">
      <c r="A888" s="11"/>
      <c r="B888" s="9"/>
      <c r="C888" s="11"/>
      <c r="D888" s="11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11"/>
    </row>
    <row r="889" ht="12.75" customHeight="1">
      <c r="A889" s="11"/>
      <c r="B889" s="9"/>
      <c r="C889" s="11"/>
      <c r="D889" s="11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11"/>
    </row>
    <row r="890" ht="12.75" customHeight="1">
      <c r="A890" s="11"/>
      <c r="B890" s="9"/>
      <c r="C890" s="11"/>
      <c r="D890" s="11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11"/>
    </row>
    <row r="891" ht="12.75" customHeight="1">
      <c r="A891" s="11"/>
      <c r="B891" s="9"/>
      <c r="C891" s="11"/>
      <c r="D891" s="11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11"/>
    </row>
    <row r="892" ht="12.75" customHeight="1">
      <c r="A892" s="11"/>
      <c r="B892" s="9"/>
      <c r="C892" s="11"/>
      <c r="D892" s="11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11"/>
    </row>
    <row r="893" ht="12.75" customHeight="1">
      <c r="A893" s="11"/>
      <c r="B893" s="9"/>
      <c r="C893" s="11"/>
      <c r="D893" s="11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11"/>
    </row>
    <row r="894" ht="12.75" customHeight="1">
      <c r="A894" s="11"/>
      <c r="B894" s="9"/>
      <c r="C894" s="11"/>
      <c r="D894" s="11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11"/>
    </row>
    <row r="895" ht="12.75" customHeight="1">
      <c r="A895" s="11"/>
      <c r="B895" s="9"/>
      <c r="C895" s="11"/>
      <c r="D895" s="11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11"/>
    </row>
    <row r="896" ht="12.75" customHeight="1">
      <c r="A896" s="11"/>
      <c r="B896" s="9"/>
      <c r="C896" s="11"/>
      <c r="D896" s="11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11"/>
    </row>
    <row r="897" ht="12.75" customHeight="1">
      <c r="A897" s="11"/>
      <c r="B897" s="9"/>
      <c r="C897" s="11"/>
      <c r="D897" s="11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11"/>
    </row>
    <row r="898" ht="12.75" customHeight="1">
      <c r="A898" s="11"/>
      <c r="B898" s="9"/>
      <c r="C898" s="11"/>
      <c r="D898" s="11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11"/>
    </row>
    <row r="899" ht="12.75" customHeight="1">
      <c r="A899" s="11"/>
      <c r="B899" s="9"/>
      <c r="C899" s="11"/>
      <c r="D899" s="11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11"/>
    </row>
    <row r="900" ht="12.75" customHeight="1">
      <c r="A900" s="11"/>
      <c r="B900" s="9"/>
      <c r="C900" s="11"/>
      <c r="D900" s="11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11"/>
    </row>
    <row r="901" ht="12.75" customHeight="1">
      <c r="A901" s="11"/>
      <c r="B901" s="9"/>
      <c r="C901" s="11"/>
      <c r="D901" s="11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11"/>
    </row>
    <row r="902" ht="12.75" customHeight="1">
      <c r="A902" s="11"/>
      <c r="B902" s="9"/>
      <c r="C902" s="11"/>
      <c r="D902" s="11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11"/>
    </row>
    <row r="903" ht="12.75" customHeight="1">
      <c r="A903" s="11"/>
      <c r="B903" s="9"/>
      <c r="C903" s="11"/>
      <c r="D903" s="11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11"/>
    </row>
    <row r="904" ht="12.75" customHeight="1">
      <c r="A904" s="11"/>
      <c r="B904" s="9"/>
      <c r="C904" s="11"/>
      <c r="D904" s="11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11"/>
    </row>
    <row r="905" ht="12.75" customHeight="1">
      <c r="A905" s="11"/>
      <c r="B905" s="9"/>
      <c r="C905" s="11"/>
      <c r="D905" s="11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11"/>
    </row>
    <row r="906" ht="12.75" customHeight="1">
      <c r="A906" s="11"/>
      <c r="B906" s="9"/>
      <c r="C906" s="11"/>
      <c r="D906" s="11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11"/>
    </row>
    <row r="907" ht="12.75" customHeight="1">
      <c r="A907" s="11"/>
      <c r="B907" s="9"/>
      <c r="C907" s="11"/>
      <c r="D907" s="11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11"/>
    </row>
    <row r="908" ht="12.75" customHeight="1">
      <c r="A908" s="11"/>
      <c r="B908" s="9"/>
      <c r="C908" s="11"/>
      <c r="D908" s="11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11"/>
    </row>
    <row r="909" ht="12.75" customHeight="1">
      <c r="A909" s="11"/>
      <c r="B909" s="9"/>
      <c r="C909" s="11"/>
      <c r="D909" s="11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11"/>
    </row>
    <row r="910" ht="12.75" customHeight="1">
      <c r="A910" s="11"/>
      <c r="B910" s="9"/>
      <c r="C910" s="11"/>
      <c r="D910" s="11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11"/>
    </row>
    <row r="911" ht="12.75" customHeight="1">
      <c r="A911" s="11"/>
      <c r="B911" s="9"/>
      <c r="C911" s="11"/>
      <c r="D911" s="11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11"/>
    </row>
    <row r="912" ht="12.75" customHeight="1">
      <c r="A912" s="11"/>
      <c r="B912" s="9"/>
      <c r="C912" s="11"/>
      <c r="D912" s="11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11"/>
    </row>
    <row r="913" ht="12.75" customHeight="1">
      <c r="A913" s="11"/>
      <c r="B913" s="9"/>
      <c r="C913" s="11"/>
      <c r="D913" s="11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11"/>
    </row>
    <row r="914" ht="12.75" customHeight="1">
      <c r="A914" s="11"/>
      <c r="B914" s="9"/>
      <c r="C914" s="11"/>
      <c r="D914" s="11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11"/>
    </row>
    <row r="915" ht="12.75" customHeight="1">
      <c r="A915" s="11"/>
      <c r="B915" s="9"/>
      <c r="C915" s="11"/>
      <c r="D915" s="11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11"/>
    </row>
    <row r="916" ht="12.75" customHeight="1">
      <c r="A916" s="11"/>
      <c r="B916" s="9"/>
      <c r="C916" s="11"/>
      <c r="D916" s="11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11"/>
    </row>
    <row r="917" ht="12.75" customHeight="1">
      <c r="A917" s="11"/>
      <c r="B917" s="9"/>
      <c r="C917" s="11"/>
      <c r="D917" s="11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11"/>
    </row>
    <row r="918" ht="12.75" customHeight="1">
      <c r="A918" s="11"/>
      <c r="B918" s="9"/>
      <c r="C918" s="11"/>
      <c r="D918" s="11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11"/>
    </row>
    <row r="919" ht="12.75" customHeight="1">
      <c r="A919" s="11"/>
      <c r="B919" s="9"/>
      <c r="C919" s="11"/>
      <c r="D919" s="11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11"/>
    </row>
    <row r="920" ht="12.75" customHeight="1">
      <c r="A920" s="11"/>
      <c r="B920" s="9"/>
      <c r="C920" s="11"/>
      <c r="D920" s="11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11"/>
    </row>
    <row r="921" ht="12.75" customHeight="1">
      <c r="A921" s="11"/>
      <c r="B921" s="9"/>
      <c r="C921" s="11"/>
      <c r="D921" s="11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11"/>
    </row>
    <row r="922" ht="12.75" customHeight="1">
      <c r="A922" s="11"/>
      <c r="B922" s="9"/>
      <c r="C922" s="11"/>
      <c r="D922" s="11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11"/>
    </row>
    <row r="923" ht="12.75" customHeight="1">
      <c r="A923" s="11"/>
      <c r="B923" s="9"/>
      <c r="C923" s="11"/>
      <c r="D923" s="11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11"/>
    </row>
    <row r="924" ht="12.75" customHeight="1">
      <c r="A924" s="11"/>
      <c r="B924" s="9"/>
      <c r="C924" s="11"/>
      <c r="D924" s="11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11"/>
    </row>
    <row r="925" ht="12.75" customHeight="1">
      <c r="A925" s="11"/>
      <c r="B925" s="9"/>
      <c r="C925" s="11"/>
      <c r="D925" s="11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11"/>
    </row>
    <row r="926" ht="12.75" customHeight="1">
      <c r="A926" s="11"/>
      <c r="B926" s="9"/>
      <c r="C926" s="11"/>
      <c r="D926" s="11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11"/>
    </row>
    <row r="927" ht="12.75" customHeight="1">
      <c r="A927" s="11"/>
      <c r="B927" s="9"/>
      <c r="C927" s="11"/>
      <c r="D927" s="11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11"/>
    </row>
    <row r="928" ht="12.75" customHeight="1">
      <c r="A928" s="11"/>
      <c r="B928" s="9"/>
      <c r="C928" s="11"/>
      <c r="D928" s="11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11"/>
    </row>
    <row r="929" ht="12.75" customHeight="1">
      <c r="A929" s="11"/>
      <c r="B929" s="9"/>
      <c r="C929" s="11"/>
      <c r="D929" s="11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11"/>
    </row>
    <row r="930" ht="12.75" customHeight="1">
      <c r="A930" s="11"/>
      <c r="B930" s="9"/>
      <c r="C930" s="11"/>
      <c r="D930" s="11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11"/>
    </row>
    <row r="931" ht="12.75" customHeight="1">
      <c r="A931" s="11"/>
      <c r="B931" s="9"/>
      <c r="C931" s="11"/>
      <c r="D931" s="11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11"/>
    </row>
    <row r="932" ht="12.75" customHeight="1">
      <c r="A932" s="11"/>
      <c r="B932" s="9"/>
      <c r="C932" s="11"/>
      <c r="D932" s="11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11"/>
    </row>
    <row r="933" ht="12.75" customHeight="1">
      <c r="A933" s="11"/>
      <c r="B933" s="9"/>
      <c r="C933" s="11"/>
      <c r="D933" s="11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11"/>
    </row>
    <row r="934" ht="12.75" customHeight="1">
      <c r="A934" s="11"/>
      <c r="B934" s="9"/>
      <c r="C934" s="11"/>
      <c r="D934" s="11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11"/>
    </row>
    <row r="935" ht="12.75" customHeight="1">
      <c r="A935" s="11"/>
      <c r="B935" s="9"/>
      <c r="C935" s="11"/>
      <c r="D935" s="11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11"/>
    </row>
    <row r="936" ht="12.75" customHeight="1">
      <c r="A936" s="11"/>
      <c r="B936" s="9"/>
      <c r="C936" s="11"/>
      <c r="D936" s="11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11"/>
    </row>
    <row r="937" ht="12.75" customHeight="1">
      <c r="A937" s="11"/>
      <c r="B937" s="9"/>
      <c r="C937" s="11"/>
      <c r="D937" s="11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11"/>
    </row>
    <row r="938" ht="12.75" customHeight="1">
      <c r="A938" s="11"/>
      <c r="B938" s="9"/>
      <c r="C938" s="11"/>
      <c r="D938" s="11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11"/>
    </row>
    <row r="939" ht="12.75" customHeight="1">
      <c r="A939" s="11"/>
      <c r="B939" s="9"/>
      <c r="C939" s="11"/>
      <c r="D939" s="11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11"/>
    </row>
    <row r="940" ht="12.75" customHeight="1">
      <c r="A940" s="11"/>
      <c r="B940" s="9"/>
      <c r="C940" s="11"/>
      <c r="D940" s="11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11"/>
    </row>
    <row r="941" ht="12.75" customHeight="1">
      <c r="A941" s="11"/>
      <c r="B941" s="9"/>
      <c r="C941" s="11"/>
      <c r="D941" s="11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11"/>
    </row>
    <row r="942" ht="12.75" customHeight="1">
      <c r="A942" s="11"/>
      <c r="B942" s="9"/>
      <c r="C942" s="11"/>
      <c r="D942" s="11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11"/>
    </row>
    <row r="943" ht="12.75" customHeight="1">
      <c r="A943" s="11"/>
      <c r="B943" s="9"/>
      <c r="C943" s="11"/>
      <c r="D943" s="11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11"/>
    </row>
    <row r="944" ht="12.75" customHeight="1">
      <c r="A944" s="11"/>
      <c r="B944" s="9"/>
      <c r="C944" s="11"/>
      <c r="D944" s="11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11"/>
    </row>
    <row r="945" ht="12.75" customHeight="1">
      <c r="A945" s="11"/>
      <c r="B945" s="9"/>
      <c r="C945" s="11"/>
      <c r="D945" s="11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11"/>
    </row>
    <row r="946" ht="12.75" customHeight="1">
      <c r="A946" s="11"/>
      <c r="B946" s="9"/>
      <c r="C946" s="11"/>
      <c r="D946" s="11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11"/>
    </row>
    <row r="947" ht="12.75" customHeight="1">
      <c r="A947" s="11"/>
      <c r="B947" s="9"/>
      <c r="C947" s="11"/>
      <c r="D947" s="11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11"/>
    </row>
    <row r="948" ht="12.75" customHeight="1">
      <c r="A948" s="11"/>
      <c r="B948" s="9"/>
      <c r="C948" s="11"/>
      <c r="D948" s="11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11"/>
    </row>
    <row r="949" ht="12.75" customHeight="1">
      <c r="A949" s="11"/>
      <c r="B949" s="9"/>
      <c r="C949" s="11"/>
      <c r="D949" s="11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11"/>
    </row>
    <row r="950" ht="12.75" customHeight="1">
      <c r="A950" s="11"/>
      <c r="B950" s="9"/>
      <c r="C950" s="11"/>
      <c r="D950" s="11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11"/>
    </row>
    <row r="951" ht="12.75" customHeight="1">
      <c r="A951" s="11"/>
      <c r="B951" s="9"/>
      <c r="C951" s="11"/>
      <c r="D951" s="11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11"/>
    </row>
    <row r="952" ht="12.75" customHeight="1">
      <c r="A952" s="11"/>
      <c r="B952" s="9"/>
      <c r="C952" s="11"/>
      <c r="D952" s="11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11"/>
    </row>
    <row r="953" ht="12.75" customHeight="1">
      <c r="A953" s="11"/>
      <c r="B953" s="9"/>
      <c r="C953" s="11"/>
      <c r="D953" s="11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11"/>
    </row>
    <row r="954" ht="12.75" customHeight="1">
      <c r="A954" s="11"/>
      <c r="B954" s="9"/>
      <c r="C954" s="11"/>
      <c r="D954" s="11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11"/>
    </row>
    <row r="955" ht="12.75" customHeight="1">
      <c r="A955" s="11"/>
      <c r="B955" s="9"/>
      <c r="C955" s="11"/>
      <c r="D955" s="11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11"/>
    </row>
    <row r="956" ht="12.75" customHeight="1">
      <c r="A956" s="11"/>
      <c r="B956" s="9"/>
      <c r="C956" s="11"/>
      <c r="D956" s="11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11"/>
    </row>
    <row r="957" ht="12.75" customHeight="1">
      <c r="A957" s="11"/>
      <c r="B957" s="9"/>
      <c r="C957" s="11"/>
      <c r="D957" s="11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11"/>
    </row>
    <row r="958" ht="12.75" customHeight="1">
      <c r="A958" s="11"/>
      <c r="B958" s="9"/>
      <c r="C958" s="11"/>
      <c r="D958" s="11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11"/>
    </row>
    <row r="959" ht="12.75" customHeight="1">
      <c r="A959" s="11"/>
      <c r="B959" s="9"/>
      <c r="C959" s="11"/>
      <c r="D959" s="11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11"/>
    </row>
    <row r="960" ht="12.75" customHeight="1">
      <c r="A960" s="11"/>
      <c r="B960" s="9"/>
      <c r="C960" s="11"/>
      <c r="D960" s="11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11"/>
    </row>
    <row r="961" ht="12.75" customHeight="1">
      <c r="A961" s="11"/>
      <c r="B961" s="9"/>
      <c r="C961" s="11"/>
      <c r="D961" s="11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11"/>
    </row>
    <row r="962" ht="12.75" customHeight="1">
      <c r="A962" s="11"/>
      <c r="B962" s="9"/>
      <c r="C962" s="11"/>
      <c r="D962" s="11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11"/>
    </row>
    <row r="963" ht="12.75" customHeight="1">
      <c r="A963" s="11"/>
      <c r="B963" s="9"/>
      <c r="C963" s="11"/>
      <c r="D963" s="11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11"/>
    </row>
    <row r="964" ht="12.75" customHeight="1">
      <c r="A964" s="11"/>
      <c r="B964" s="9"/>
      <c r="C964" s="11"/>
      <c r="D964" s="11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11"/>
    </row>
    <row r="965" ht="12.75" customHeight="1">
      <c r="A965" s="11"/>
      <c r="B965" s="9"/>
      <c r="C965" s="11"/>
      <c r="D965" s="11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11"/>
    </row>
    <row r="966" ht="12.75" customHeight="1">
      <c r="A966" s="11"/>
      <c r="B966" s="9"/>
      <c r="C966" s="11"/>
      <c r="D966" s="11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11"/>
    </row>
    <row r="967" ht="12.75" customHeight="1">
      <c r="A967" s="11"/>
      <c r="B967" s="9"/>
      <c r="C967" s="11"/>
      <c r="D967" s="11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11"/>
    </row>
    <row r="968" ht="12.75" customHeight="1">
      <c r="A968" s="11"/>
      <c r="B968" s="9"/>
      <c r="C968" s="11"/>
      <c r="D968" s="11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11"/>
    </row>
    <row r="969" ht="12.75" customHeight="1">
      <c r="A969" s="11"/>
      <c r="B969" s="9"/>
      <c r="C969" s="11"/>
      <c r="D969" s="11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11"/>
    </row>
    <row r="970" ht="12.75" customHeight="1">
      <c r="A970" s="11"/>
      <c r="B970" s="9"/>
      <c r="C970" s="11"/>
      <c r="D970" s="11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11"/>
    </row>
    <row r="971" ht="12.75" customHeight="1">
      <c r="A971" s="11"/>
      <c r="B971" s="9"/>
      <c r="C971" s="11"/>
      <c r="D971" s="11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11"/>
    </row>
    <row r="972" ht="12.75" customHeight="1">
      <c r="A972" s="11"/>
      <c r="B972" s="9"/>
      <c r="C972" s="11"/>
      <c r="D972" s="11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11"/>
    </row>
    <row r="973" ht="12.75" customHeight="1">
      <c r="A973" s="11"/>
      <c r="B973" s="9"/>
      <c r="C973" s="11"/>
      <c r="D973" s="11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11"/>
    </row>
    <row r="974" ht="12.75" customHeight="1">
      <c r="A974" s="11"/>
      <c r="B974" s="9"/>
      <c r="C974" s="11"/>
      <c r="D974" s="11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11"/>
    </row>
    <row r="975" ht="12.75" customHeight="1">
      <c r="A975" s="11"/>
      <c r="B975" s="9"/>
      <c r="C975" s="11"/>
      <c r="D975" s="11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11"/>
    </row>
    <row r="976" ht="12.75" customHeight="1">
      <c r="A976" s="11"/>
      <c r="B976" s="9"/>
      <c r="C976" s="11"/>
      <c r="D976" s="11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11"/>
    </row>
    <row r="977" ht="12.75" customHeight="1">
      <c r="A977" s="11"/>
      <c r="B977" s="9"/>
      <c r="C977" s="11"/>
      <c r="D977" s="11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11"/>
    </row>
    <row r="978" ht="12.75" customHeight="1">
      <c r="A978" s="11"/>
      <c r="B978" s="9"/>
      <c r="C978" s="11"/>
      <c r="D978" s="11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11"/>
    </row>
    <row r="979" ht="12.75" customHeight="1">
      <c r="A979" s="11"/>
      <c r="B979" s="9"/>
      <c r="C979" s="11"/>
      <c r="D979" s="11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11"/>
    </row>
    <row r="980" ht="12.75" customHeight="1">
      <c r="A980" s="11"/>
      <c r="B980" s="9"/>
      <c r="C980" s="11"/>
      <c r="D980" s="11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11"/>
    </row>
    <row r="981" ht="12.75" customHeight="1">
      <c r="A981" s="11"/>
      <c r="B981" s="9"/>
      <c r="C981" s="11"/>
      <c r="D981" s="11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11"/>
    </row>
    <row r="982" ht="12.75" customHeight="1">
      <c r="A982" s="11"/>
      <c r="B982" s="9"/>
      <c r="C982" s="11"/>
      <c r="D982" s="11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11"/>
    </row>
    <row r="983" ht="12.75" customHeight="1">
      <c r="A983" s="11"/>
      <c r="B983" s="9"/>
      <c r="C983" s="11"/>
      <c r="D983" s="11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11"/>
    </row>
    <row r="984" ht="12.75" customHeight="1">
      <c r="A984" s="11"/>
      <c r="B984" s="9"/>
      <c r="C984" s="11"/>
      <c r="D984" s="11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11"/>
    </row>
    <row r="985" ht="12.75" customHeight="1">
      <c r="A985" s="11"/>
      <c r="B985" s="9"/>
      <c r="C985" s="11"/>
      <c r="D985" s="11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11"/>
    </row>
    <row r="986" ht="12.75" customHeight="1">
      <c r="A986" s="11"/>
      <c r="B986" s="9"/>
      <c r="C986" s="11"/>
      <c r="D986" s="11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11"/>
    </row>
    <row r="987" ht="12.75" customHeight="1">
      <c r="A987" s="11"/>
      <c r="B987" s="9"/>
      <c r="C987" s="11"/>
      <c r="D987" s="11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11"/>
    </row>
    <row r="988" ht="12.75" customHeight="1">
      <c r="A988" s="11"/>
      <c r="B988" s="9"/>
      <c r="C988" s="11"/>
      <c r="D988" s="11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11"/>
    </row>
    <row r="989" ht="12.75" customHeight="1">
      <c r="A989" s="11"/>
      <c r="B989" s="9"/>
      <c r="C989" s="11"/>
      <c r="D989" s="11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11"/>
    </row>
    <row r="990" ht="12.75" customHeight="1">
      <c r="A990" s="11"/>
      <c r="B990" s="9"/>
      <c r="C990" s="11"/>
      <c r="D990" s="11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11"/>
    </row>
    <row r="991" ht="12.75" customHeight="1">
      <c r="A991" s="11"/>
      <c r="B991" s="9"/>
      <c r="C991" s="11"/>
      <c r="D991" s="11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11"/>
    </row>
    <row r="992" ht="12.75" customHeight="1">
      <c r="A992" s="11"/>
      <c r="B992" s="9"/>
      <c r="C992" s="11"/>
      <c r="D992" s="11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11"/>
    </row>
    <row r="993" ht="12.75" customHeight="1">
      <c r="A993" s="11"/>
      <c r="B993" s="9"/>
      <c r="C993" s="11"/>
      <c r="D993" s="11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11"/>
    </row>
    <row r="994" ht="12.75" customHeight="1">
      <c r="A994" s="11"/>
      <c r="B994" s="9"/>
      <c r="C994" s="11"/>
      <c r="D994" s="11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11"/>
    </row>
    <row r="995" ht="12.75" customHeight="1">
      <c r="A995" s="11"/>
      <c r="B995" s="9"/>
      <c r="C995" s="11"/>
      <c r="D995" s="11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11"/>
    </row>
    <row r="996" ht="12.75" customHeight="1">
      <c r="A996" s="11"/>
      <c r="B996" s="9"/>
      <c r="C996" s="11"/>
      <c r="D996" s="11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11"/>
    </row>
    <row r="997" ht="12.75" customHeight="1">
      <c r="A997" s="11"/>
      <c r="B997" s="9"/>
      <c r="C997" s="11"/>
      <c r="D997" s="11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11"/>
    </row>
    <row r="998" ht="12.75" customHeight="1">
      <c r="A998" s="11"/>
      <c r="B998" s="9"/>
      <c r="C998" s="11"/>
      <c r="D998" s="11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11"/>
    </row>
    <row r="999" ht="12.75" customHeight="1">
      <c r="A999" s="11"/>
      <c r="B999" s="9"/>
      <c r="C999" s="11"/>
      <c r="D999" s="11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11"/>
    </row>
    <row r="1000" ht="12.75" customHeight="1">
      <c r="A1000" s="11"/>
      <c r="B1000" s="9"/>
      <c r="C1000" s="11"/>
      <c r="D1000" s="11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11"/>
    </row>
  </sheetData>
  <conditionalFormatting sqref="A15:AD58">
    <cfRule type="expression" dxfId="6" priority="1">
      <formula>$D15="Done"</formula>
    </cfRule>
  </conditionalFormatting>
  <conditionalFormatting sqref="A15:AD58">
    <cfRule type="expression" dxfId="5" priority="2">
      <formula>$D15="Ongoing"</formula>
    </cfRule>
  </conditionalFormatting>
  <dataValidations>
    <dataValidation type="list" allowBlank="1" showInputMessage="1" prompt=" - " sqref="D3:D8 D15:D64">
      <formula1>"Planned,Ongoing,Done"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4.0" topLeftCell="A15" activePane="bottomLeft" state="frozen"/>
      <selection activeCell="B16" sqref="B16" pane="bottomLeft"/>
    </sheetView>
  </sheetViews>
  <sheetFormatPr customHeight="1" defaultColWidth="14.43" defaultRowHeight="15.0"/>
  <cols>
    <col customWidth="1" min="1" max="1" width="38.43"/>
    <col customWidth="1" min="2" max="2" width="8.57"/>
    <col customWidth="1" min="3" max="3" width="13.71"/>
    <col customWidth="1" min="4" max="4" width="10.86"/>
    <col customWidth="1" min="5" max="5" width="6.57"/>
    <col customWidth="1" min="6" max="30" width="4.43"/>
    <col customWidth="1" min="31" max="31" width="8.0"/>
  </cols>
  <sheetData>
    <row r="1" ht="17.25" customHeight="1">
      <c r="A1" s="74" t="s">
        <v>74</v>
      </c>
      <c r="B1" s="75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</row>
    <row r="2" ht="12.75" customHeight="1">
      <c r="B2" s="3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</row>
    <row r="3" ht="12.75" customHeight="1">
      <c r="B3" s="3"/>
      <c r="D3" s="6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ht="12.75" customHeight="1">
      <c r="B4" s="3"/>
      <c r="D4" s="6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ht="12.75" customHeight="1">
      <c r="B5" s="3"/>
      <c r="D5" s="6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ht="12.75" customHeight="1">
      <c r="B6" s="3"/>
      <c r="D6" s="62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ht="12.75" customHeight="1">
      <c r="B7" s="3"/>
      <c r="D7" s="62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ht="12.75" customHeight="1">
      <c r="B8" s="3"/>
      <c r="D8" s="6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ht="12.75" customHeight="1">
      <c r="A9" s="76" t="s">
        <v>29</v>
      </c>
      <c r="B9" s="3">
        <v>5.0</v>
      </c>
      <c r="C9" s="76"/>
      <c r="D9" s="77"/>
      <c r="E9" s="76" t="s">
        <v>31</v>
      </c>
      <c r="F9" s="76" t="s">
        <v>32</v>
      </c>
      <c r="G9" s="76"/>
      <c r="H9" s="76"/>
      <c r="I9" s="76"/>
      <c r="J9" s="76"/>
      <c r="K9" s="76"/>
      <c r="L9" s="76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ht="12.75" customHeight="1">
      <c r="A10" s="76" t="s">
        <v>36</v>
      </c>
      <c r="B10" s="3">
        <v>5.0</v>
      </c>
      <c r="C10" s="78" t="s">
        <v>37</v>
      </c>
      <c r="D10" s="76" t="s">
        <v>41</v>
      </c>
      <c r="E10" s="79">
        <v>11.0</v>
      </c>
      <c r="F10" s="79">
        <v>11.0</v>
      </c>
      <c r="G10" s="80">
        <f>IF(AND(SUM(OFFSET(G14,1,0,'Sp2'!TaskRows,1))=0),"",SUM(OFFSET(G14,1,0,'Sp2'!TaskRows,1)))</f>
        <v>10</v>
      </c>
      <c r="H10" s="80">
        <f>IF(AND(SUM(OFFSET(H14,1,0,'Sp2'!TaskRows,1))=0),"",SUM(OFFSET(H14,1,0,'Sp2'!TaskRows,1)))</f>
        <v>10</v>
      </c>
      <c r="I10" s="80">
        <f>IF(AND(SUM(OFFSET(I14,1,0,'Sp2'!TaskRows,1))=0),"",SUM(OFFSET(I14,1,0,'Sp2'!TaskRows,1)))</f>
        <v>10</v>
      </c>
      <c r="J10" s="80">
        <f>IF(AND(SUM(OFFSET(J14,1,0,'Sp2'!TaskRows,1))=0),"",SUM(OFFSET(J14,1,0,'Sp2'!TaskRows,1)))</f>
        <v>9</v>
      </c>
      <c r="K10" s="80">
        <f>IF(AND(SUM(OFFSET(K14,1,0,'Sp2'!TaskRows,1))=0),"",SUM(OFFSET(K14,1,0,'Sp2'!TaskRows,1)))</f>
        <v>9</v>
      </c>
      <c r="L10" s="80">
        <f>IF(AND(SUM(OFFSET(L14,1,0,'Sp2'!TaskRows,1))=0),"",SUM(OFFSET(L14,1,0,'Sp2'!TaskRows,1)))</f>
        <v>7</v>
      </c>
      <c r="M10" s="80">
        <f>IF(AND(SUM(OFFSET(M14,1,0,'Sp2'!TaskRows,1))=0),"",SUM(OFFSET(M14,1,0,'Sp2'!TaskRows,1)))</f>
        <v>5</v>
      </c>
      <c r="N10" s="80">
        <f>IF(AND(SUM(OFFSET(N14,1,0,'Sp2'!TaskRows,1))=0),"",SUM(OFFSET(N14,1,0,'Sp2'!TaskRows,1)))</f>
        <v>3</v>
      </c>
      <c r="O10" s="80">
        <f>IF(AND(SUM(OFFSET(O14,1,0,'Sp2'!TaskRows,1))=0),"",SUM(OFFSET(O14,1,0,'Sp2'!TaskRows,1)))</f>
        <v>2</v>
      </c>
      <c r="P10" s="80">
        <f>IF(AND(SUM(OFFSET(P14,1,0,'Sp2'!TaskRows,1))=0),"",SUM(OFFSET(P14,1,0,'Sp2'!TaskRows,1)))</f>
        <v>1</v>
      </c>
      <c r="Q10" s="80" t="str">
        <f>IF(AND(SUM(OFFSET(Q14,1,0,'Sp2'!TaskRows,1))=0),"",SUM(OFFSET(Q14,1,0,'Sp2'!TaskRows,1)))</f>
        <v/>
      </c>
      <c r="R10" s="80" t="str">
        <f>IF(AND(SUM(OFFSET(R14,1,0,'Sp2'!TaskRows,1))=0),"",SUM(OFFSET(R14,1,0,'Sp2'!TaskRows,1)))</f>
        <v/>
      </c>
      <c r="S10" s="80" t="str">
        <f>IF(AND(SUM(OFFSET(S14,1,0,'Sp2'!TaskRows,1))=0),"",SUM(OFFSET(S14,1,0,'Sp2'!TaskRows,1)))</f>
        <v/>
      </c>
      <c r="T10" s="80" t="str">
        <f>IF(AND(SUM(OFFSET(T14,1,0,'Sp2'!TaskRows,1))=0),"",SUM(OFFSET(T14,1,0,'Sp2'!TaskRows,1)))</f>
        <v/>
      </c>
      <c r="U10" s="80" t="str">
        <f>IF(AND(SUM(OFFSET(U14,1,0,'Sp2'!TaskRows,1))=0),"",SUM(OFFSET(U14,1,0,'Sp2'!TaskRows,1)))</f>
        <v/>
      </c>
      <c r="V10" s="80" t="str">
        <f>IF(AND(SUM(OFFSET(V14,1,0,'Sp2'!TaskRows,1))=0),"",SUM(OFFSET(V14,1,0,'Sp2'!TaskRows,1)))</f>
        <v/>
      </c>
      <c r="W10" s="80" t="str">
        <f>IF(AND(SUM(OFFSET(W14,1,0,'Sp2'!TaskRows,1))=0),"",SUM(OFFSET(W14,1,0,'Sp2'!TaskRows,1)))</f>
        <v/>
      </c>
      <c r="X10" s="80" t="str">
        <f>IF(AND(SUM(OFFSET(X14,1,0,'Sp2'!TaskRows,1))=0),"",SUM(OFFSET(X14,1,0,'Sp2'!TaskRows,1)))</f>
        <v/>
      </c>
      <c r="Y10" s="80" t="str">
        <f>IF(AND(SUM(OFFSET(Y14,1,0,'Sp2'!TaskRows,1))=0),"",SUM(OFFSET(Y14,1,0,'Sp2'!TaskRows,1)))</f>
        <v/>
      </c>
      <c r="Z10" s="80" t="str">
        <f>IF(AND(SUM(OFFSET(Z14,1,0,'Sp2'!TaskRows,1))=0),"",SUM(OFFSET(Z14,1,0,'Sp2'!TaskRows,1)))</f>
        <v/>
      </c>
      <c r="AA10" s="80" t="str">
        <f>IF(AND(SUM(OFFSET(AA14,1,0,'Sp2'!TaskRows,1))=0),"",SUM(OFFSET(AA14,1,0,'Sp2'!TaskRows,1)))</f>
        <v/>
      </c>
      <c r="AB10" s="80" t="str">
        <f>IF(AND(SUM(OFFSET(AB14,1,0,'Sp2'!TaskRows,1))=0),"",SUM(OFFSET(AB14,1,0,'Sp2'!TaskRows,1)))</f>
        <v/>
      </c>
      <c r="AC10" s="80" t="str">
        <f>IF(AND(SUM(OFFSET(AC14,1,0,'Sp2'!TaskRows,1))=0),"",SUM(OFFSET(AC14,1,0,'Sp2'!TaskRows,1)))</f>
        <v/>
      </c>
      <c r="AD10" s="80" t="str">
        <f>IF(AND(SUM(OFFSET(AD14,1,0,'Sp2'!TaskRows,1))=0),"",SUM(OFFSET(AD14,1,0,'Sp2'!TaskRows,1)))</f>
        <v/>
      </c>
    </row>
    <row r="11" ht="12.75" hidden="1" customHeight="1">
      <c r="A11" s="62" t="s">
        <v>55</v>
      </c>
      <c r="B11" s="3">
        <f>IF(COUNTA(A15:A242)=0,1,COUNTA(A15:A242))</f>
        <v>4</v>
      </c>
      <c r="C11" s="62" t="s">
        <v>56</v>
      </c>
      <c r="D11" s="3">
        <f>IF(COUNTIF(F10:AD10,"&gt;0")=0,1,COUNTIF(F10:AD10,"&gt;0"))</f>
        <v>11</v>
      </c>
      <c r="E11" s="3"/>
      <c r="F11" s="3">
        <f>IF(F14="","",$E10-$E10/($B9-1)*(F14-1))</f>
        <v>11</v>
      </c>
      <c r="G11" s="3">
        <f>IF(G14="","",'Sp2'!TotalEffort-'Sp2'!TotalEffort/('Sp2'!ImplementationDays)*(G14-1))</f>
        <v>8.8</v>
      </c>
      <c r="H11" s="3">
        <f>IF(H14="","",'Sp2'!TotalEffort-'Sp2'!TotalEffort/('Sp2'!ImplementationDays)*(H14-1))</f>
        <v>6.6</v>
      </c>
      <c r="I11" s="3">
        <f>IF(I14="","",'Sp2'!TotalEffort-'Sp2'!TotalEffort/('Sp2'!ImplementationDays)*(I14-1))</f>
        <v>4.4</v>
      </c>
      <c r="J11" s="3">
        <f>IF(J14="","",'Sp2'!TotalEffort-'Sp2'!TotalEffort/('Sp2'!ImplementationDays)*(J14-1))</f>
        <v>2.2</v>
      </c>
      <c r="K11" s="3">
        <f>IF(K14="","",'Sp2'!TotalEffort-'Sp2'!TotalEffort/('Sp2'!ImplementationDays)*(K14-1))</f>
        <v>0</v>
      </c>
      <c r="L11" s="3">
        <f>IF(L14="","",'Sp2'!TotalEffort-'Sp2'!TotalEffort/('Sp2'!ImplementationDays)*(L14-1))</f>
        <v>-2.2</v>
      </c>
      <c r="M11" s="3">
        <f>IF(M14="","",'Sp2'!TotalEffort-'Sp2'!TotalEffort/('Sp2'!ImplementationDays)*(M14-1))</f>
        <v>-4.4</v>
      </c>
      <c r="N11" s="3">
        <f>IF(N14="","",'Sp2'!TotalEffort-'Sp2'!TotalEffort/('Sp2'!ImplementationDays)*(N14-1))</f>
        <v>-6.6</v>
      </c>
      <c r="O11" s="3">
        <f>IF(O14="","",'Sp2'!TotalEffort-'Sp2'!TotalEffort/('Sp2'!ImplementationDays)*(O14-1))</f>
        <v>-8.8</v>
      </c>
      <c r="P11" s="3">
        <f>IF(P14="","",'Sp2'!TotalEffort-'Sp2'!TotalEffort/('Sp2'!ImplementationDays)*(P14-1))</f>
        <v>-11</v>
      </c>
      <c r="Q11" s="3">
        <f>IF(Q14="","",'Sp2'!TotalEffort-'Sp2'!TotalEffort/('Sp2'!ImplementationDays)*(Q14-1))</f>
        <v>-13.2</v>
      </c>
      <c r="R11" s="3">
        <f>IF(R14="","",'Sp2'!TotalEffort-'Sp2'!TotalEffort/('Sp2'!ImplementationDays)*(R14-1))</f>
        <v>-15.4</v>
      </c>
      <c r="S11" s="3">
        <f>IF(S14="","",'Sp2'!TotalEffort-'Sp2'!TotalEffort/('Sp2'!ImplementationDays)*(S14-1))</f>
        <v>-17.6</v>
      </c>
      <c r="T11" s="3" t="str">
        <f>IF(T14="","",'Sp2'!TotalEffort-'Sp2'!TotalEffort/('Sp2'!ImplementationDays)*(T14-1))</f>
        <v/>
      </c>
      <c r="U11" s="3" t="str">
        <f>IF(U14="","",'Sp2'!TotalEffort-'Sp2'!TotalEffort/('Sp2'!ImplementationDays)*(U14-1))</f>
        <v/>
      </c>
      <c r="V11" s="3" t="str">
        <f>IF(V14="","",'Sp2'!TotalEffort-'Sp2'!TotalEffort/('Sp2'!ImplementationDays)*(V14-1))</f>
        <v/>
      </c>
      <c r="W11" s="3" t="str">
        <f>IF(W14="","",'Sp2'!TotalEffort-'Sp2'!TotalEffort/('Sp2'!ImplementationDays)*(W14-1))</f>
        <v/>
      </c>
      <c r="X11" s="3" t="str">
        <f>IF(X14="","",'Sp2'!TotalEffort-'Sp2'!TotalEffort/('Sp2'!ImplementationDays)*(X14-1))</f>
        <v/>
      </c>
      <c r="Y11" s="3" t="str">
        <f>IF(Y14="","",'Sp2'!TotalEffort-'Sp2'!TotalEffort/('Sp2'!ImplementationDays)*(Y14-1))</f>
        <v/>
      </c>
      <c r="Z11" s="3" t="str">
        <f>IF(Z14="","",'Sp2'!TotalEffort-'Sp2'!TotalEffort/('Sp2'!ImplementationDays)*(Z14-1))</f>
        <v/>
      </c>
      <c r="AA11" s="3" t="str">
        <f>IF(AA14="","",'Sp2'!TotalEffort-'Sp2'!TotalEffort/('Sp2'!ImplementationDays)*(AA14-1))</f>
        <v/>
      </c>
      <c r="AB11" s="3" t="str">
        <f>IF(AB14="","",'Sp2'!TotalEffort-'Sp2'!TotalEffort/('Sp2'!ImplementationDays)*(AB14-1))</f>
        <v/>
      </c>
      <c r="AC11" s="3" t="str">
        <f>IF(AC14="","",'Sp2'!TotalEffort-'Sp2'!TotalEffort/('Sp2'!ImplementationDays)*(AC14-1))</f>
        <v/>
      </c>
      <c r="AD11" s="3" t="str">
        <f>IF(AD14="","",'Sp2'!TotalEffort-'Sp2'!TotalEffort/('Sp2'!ImplementationDays)*(AD14-1))</f>
        <v/>
      </c>
    </row>
    <row r="12" ht="12.75" hidden="1" customHeight="1">
      <c r="A12" s="68" t="s">
        <v>57</v>
      </c>
      <c r="C12" s="62" t="s">
        <v>59</v>
      </c>
      <c r="D12" s="3"/>
      <c r="E12" s="3"/>
      <c r="F12" s="3">
        <f t="array" ref="F12">IF(TREND(OFFSET($F10,0,'Sp2'!DoneDays-TrendDays,1,TrendDays),OFFSET($F13,0,'Sp2'!DoneDays-TrendDays,1,TrendDays),F13)&lt;0,"",TREND(OFFSET($F10,0,'Sp2'!DoneDays-TrendDays,1,TrendDays),OFFSET($F13,0,'Sp2'!DoneDays-TrendDays,1,TrendDays),F13))</f>
        <v>15.6</v>
      </c>
      <c r="G12" s="3">
        <f t="array" ref="G12">IF(TREND(OFFSET($F10,0,'Sp2'!DoneDays-TrendDays,1,TrendDays),OFFSET($F13,0,'Sp2'!DoneDays-TrendDays,1,TrendDays),G13)&lt;0,"",TREND(OFFSET($F10,0,'Sp2'!DoneDays-TrendDays,1,TrendDays),OFFSET($F13,0,'Sp2'!DoneDays-TrendDays,1,TrendDays),G13))</f>
        <v>14.1</v>
      </c>
      <c r="H12" s="3">
        <f t="array" ref="H12">IF(TREND(OFFSET($F10,0,'Sp2'!DoneDays-TrendDays,1,TrendDays),OFFSET($F13,0,'Sp2'!DoneDays-TrendDays,1,TrendDays),H13)&lt;0,"",TREND(OFFSET($F10,0,'Sp2'!DoneDays-TrendDays,1,TrendDays),OFFSET($F13,0,'Sp2'!DoneDays-TrendDays,1,TrendDays),H13))</f>
        <v>12.6</v>
      </c>
      <c r="I12" s="3">
        <f t="array" ref="I12">IF(TREND(OFFSET($F10,0,'Sp2'!DoneDays-TrendDays,1,TrendDays),OFFSET($F13,0,'Sp2'!DoneDays-TrendDays,1,TrendDays),I13)&lt;0,"",TREND(OFFSET($F10,0,'Sp2'!DoneDays-TrendDays,1,TrendDays),OFFSET($F13,0,'Sp2'!DoneDays-TrendDays,1,TrendDays),I13))</f>
        <v>11.1</v>
      </c>
      <c r="J12" s="3">
        <f t="array" ref="J12">IF(TREND(OFFSET($F10,0,'Sp2'!DoneDays-TrendDays,1,TrendDays),OFFSET($F13,0,'Sp2'!DoneDays-TrendDays,1,TrendDays),J13)&lt;0,"",TREND(OFFSET($F10,0,'Sp2'!DoneDays-TrendDays,1,TrendDays),OFFSET($F13,0,'Sp2'!DoneDays-TrendDays,1,TrendDays),J13))</f>
        <v>9.6</v>
      </c>
      <c r="K12" s="3">
        <f t="array" ref="K12">IF(TREND(OFFSET($F10,0,'Sp2'!DoneDays-TrendDays,1,TrendDays),OFFSET($F13,0,'Sp2'!DoneDays-TrendDays,1,TrendDays),K13)&lt;0,"",TREND(OFFSET($F10,0,'Sp2'!DoneDays-TrendDays,1,TrendDays),OFFSET($F13,0,'Sp2'!DoneDays-TrendDays,1,TrendDays),K13))</f>
        <v>8.1</v>
      </c>
      <c r="L12" s="3">
        <f t="array" ref="L12">IF(TREND(OFFSET($F10,0,'Sp2'!DoneDays-TrendDays,1,TrendDays),OFFSET($F13,0,'Sp2'!DoneDays-TrendDays,1,TrendDays),L13)&lt;0,"",TREND(OFFSET($F10,0,'Sp2'!DoneDays-TrendDays,1,TrendDays),OFFSET($F13,0,'Sp2'!DoneDays-TrendDays,1,TrendDays),L13))</f>
        <v>6.6</v>
      </c>
      <c r="M12" s="3">
        <f t="array" ref="M12">IF(TREND(OFFSET($F10,0,'Sp2'!DoneDays-TrendDays,1,TrendDays),OFFSET($F13,0,'Sp2'!DoneDays-TrendDays,1,TrendDays),M13)&lt;0,"",TREND(OFFSET($F10,0,'Sp2'!DoneDays-TrendDays,1,TrendDays),OFFSET($F13,0,'Sp2'!DoneDays-TrendDays,1,TrendDays),M13))</f>
        <v>5.1</v>
      </c>
      <c r="N12" s="3">
        <f t="array" ref="N12">IF(TREND(OFFSET($F10,0,'Sp2'!DoneDays-TrendDays,1,TrendDays),OFFSET($F13,0,'Sp2'!DoneDays-TrendDays,1,TrendDays),N13)&lt;0,"",TREND(OFFSET($F10,0,'Sp2'!DoneDays-TrendDays,1,TrendDays),OFFSET($F13,0,'Sp2'!DoneDays-TrendDays,1,TrendDays),N13))</f>
        <v>3.6</v>
      </c>
      <c r="O12" s="3">
        <f t="array" ref="O12">IF(TREND(OFFSET($F10,0,'Sp2'!DoneDays-TrendDays,1,TrendDays),OFFSET($F13,0,'Sp2'!DoneDays-TrendDays,1,TrendDays),O13)&lt;0,"",TREND(OFFSET($F10,0,'Sp2'!DoneDays-TrendDays,1,TrendDays),OFFSET($F13,0,'Sp2'!DoneDays-TrendDays,1,TrendDays),O13))</f>
        <v>2.1</v>
      </c>
      <c r="P12" s="3">
        <f t="array" ref="P12">IF(TREND(OFFSET($F10,0,'Sp2'!DoneDays-TrendDays,1,TrendDays),OFFSET($F13,0,'Sp2'!DoneDays-TrendDays,1,TrendDays),P13)&lt;0,"",TREND(OFFSET($F10,0,'Sp2'!DoneDays-TrendDays,1,TrendDays),OFFSET($F13,0,'Sp2'!DoneDays-TrendDays,1,TrendDays),P13))</f>
        <v>0.6</v>
      </c>
      <c r="Q12" s="3" t="str">
        <f t="array" ref="Q12">IF(TREND(OFFSET($F10,0,'Sp2'!DoneDays-TrendDays,1,TrendDays),OFFSET($F13,0,'Sp2'!DoneDays-TrendDays,1,TrendDays),Q13)&lt;0,"",TREND(OFFSET($F10,0,'Sp2'!DoneDays-TrendDays,1,TrendDays),OFFSET($F13,0,'Sp2'!DoneDays-TrendDays,1,TrendDays),Q13))</f>
        <v/>
      </c>
      <c r="R12" s="3" t="str">
        <f t="array" ref="R12">IF(TREND(OFFSET($F10,0,'Sp2'!DoneDays-TrendDays,1,TrendDays),OFFSET($F13,0,'Sp2'!DoneDays-TrendDays,1,TrendDays),R13)&lt;0,"",TREND(OFFSET($F10,0,'Sp2'!DoneDays-TrendDays,1,TrendDays),OFFSET($F13,0,'Sp2'!DoneDays-TrendDays,1,TrendDays),R13))</f>
        <v/>
      </c>
      <c r="S12" s="3" t="str">
        <f t="array" ref="S12">IF(TREND(OFFSET($F10,0,'Sp2'!DoneDays-TrendDays,1,TrendDays),OFFSET($F13,0,'Sp2'!DoneDays-TrendDays,1,TrendDays),S13)&lt;0,"",TREND(OFFSET($F10,0,'Sp2'!DoneDays-TrendDays,1,TrendDays),OFFSET($F13,0,'Sp2'!DoneDays-TrendDays,1,TrendDays),S13))</f>
        <v/>
      </c>
      <c r="T12" s="3" t="str">
        <f t="array" ref="T12">IF(TREND(OFFSET($F10,0,'Sp2'!DoneDays-TrendDays,1,TrendDays),OFFSET($F13,0,'Sp2'!DoneDays-TrendDays,1,TrendDays),T13)&lt;0,"",TREND(OFFSET($F10,0,'Sp2'!DoneDays-TrendDays,1,TrendDays),OFFSET($F13,0,'Sp2'!DoneDays-TrendDays,1,TrendDays),T13))</f>
        <v/>
      </c>
      <c r="U12" s="3" t="str">
        <f t="array" ref="U12">IF(TREND(OFFSET($F10,0,'Sp2'!DoneDays-TrendDays,1,TrendDays),OFFSET($F13,0,'Sp2'!DoneDays-TrendDays,1,TrendDays),U13)&lt;0,"",TREND(OFFSET($F10,0,'Sp2'!DoneDays-TrendDays,1,TrendDays),OFFSET($F13,0,'Sp2'!DoneDays-TrendDays,1,TrendDays),U13))</f>
        <v/>
      </c>
      <c r="V12" s="3" t="str">
        <f t="array" ref="V12">IF(TREND(OFFSET($F10,0,'Sp2'!DoneDays-TrendDays,1,TrendDays),OFFSET($F13,0,'Sp2'!DoneDays-TrendDays,1,TrendDays),V13)&lt;0,"",TREND(OFFSET($F10,0,'Sp2'!DoneDays-TrendDays,1,TrendDays),OFFSET($F13,0,'Sp2'!DoneDays-TrendDays,1,TrendDays),V13))</f>
        <v/>
      </c>
      <c r="W12" s="3" t="str">
        <f t="array" ref="W12">IF(TREND(OFFSET($F10,0,'Sp2'!DoneDays-TrendDays,1,TrendDays),OFFSET($F13,0,'Sp2'!DoneDays-TrendDays,1,TrendDays),W13)&lt;0,"",TREND(OFFSET($F10,0,'Sp2'!DoneDays-TrendDays,1,TrendDays),OFFSET($F13,0,'Sp2'!DoneDays-TrendDays,1,TrendDays),W13))</f>
        <v/>
      </c>
      <c r="X12" s="3" t="str">
        <f t="array" ref="X12">IF(TREND(OFFSET($F10,0,'Sp2'!DoneDays-TrendDays,1,TrendDays),OFFSET($F13,0,'Sp2'!DoneDays-TrendDays,1,TrendDays),X13)&lt;0,"",TREND(OFFSET($F10,0,'Sp2'!DoneDays-TrendDays,1,TrendDays),OFFSET($F13,0,'Sp2'!DoneDays-TrendDays,1,TrendDays),X13))</f>
        <v/>
      </c>
      <c r="Y12" s="3" t="str">
        <f t="array" ref="Y12">IF(TREND(OFFSET($F10,0,'Sp2'!DoneDays-TrendDays,1,TrendDays),OFFSET($F13,0,'Sp2'!DoneDays-TrendDays,1,TrendDays),Y13)&lt;0,"",TREND(OFFSET($F10,0,'Sp2'!DoneDays-TrendDays,1,TrendDays),OFFSET($F13,0,'Sp2'!DoneDays-TrendDays,1,TrendDays),Y13))</f>
        <v/>
      </c>
      <c r="Z12" s="3" t="str">
        <f t="array" ref="Z12">IF(TREND(OFFSET($F10,0,'Sp2'!DoneDays-TrendDays,1,TrendDays),OFFSET($F13,0,'Sp2'!DoneDays-TrendDays,1,TrendDays),Z13)&lt;0,"",TREND(OFFSET($F10,0,'Sp2'!DoneDays-TrendDays,1,TrendDays),OFFSET($F13,0,'Sp2'!DoneDays-TrendDays,1,TrendDays),Z13))</f>
        <v/>
      </c>
      <c r="AA12" s="3" t="str">
        <f t="array" ref="AA12">IF(TREND(OFFSET($F10,0,'Sp2'!DoneDays-TrendDays,1,TrendDays),OFFSET($F13,0,'Sp2'!DoneDays-TrendDays,1,TrendDays),AA13)&lt;0,"",TREND(OFFSET($F10,0,'Sp2'!DoneDays-TrendDays,1,TrendDays),OFFSET($F13,0,'Sp2'!DoneDays-TrendDays,1,TrendDays),AA13))</f>
        <v/>
      </c>
      <c r="AB12" s="3" t="str">
        <f t="array" ref="AB12">IF(TREND(OFFSET($F10,0,'Sp2'!DoneDays-TrendDays,1,TrendDays),OFFSET($F13,0,'Sp2'!DoneDays-TrendDays,1,TrendDays),AB13)&lt;0,"",TREND(OFFSET($F10,0,'Sp2'!DoneDays-TrendDays,1,TrendDays),OFFSET($F13,0,'Sp2'!DoneDays-TrendDays,1,TrendDays),AB13))</f>
        <v/>
      </c>
      <c r="AC12" s="3" t="str">
        <f t="array" ref="AC12">IF(TREND(OFFSET($F10,0,'Sp2'!DoneDays-TrendDays,1,TrendDays),OFFSET($F13,0,'Sp2'!DoneDays-TrendDays,1,TrendDays),AC13)&lt;0,"",TREND(OFFSET($F10,0,'Sp2'!DoneDays-TrendDays,1,TrendDays),OFFSET($F13,0,'Sp2'!DoneDays-TrendDays,1,TrendDays),AC13))</f>
        <v/>
      </c>
      <c r="AD12" s="3" t="str">
        <f t="array" ref="AD12">IF(TREND(OFFSET($F10,0,'Sp2'!DoneDays-TrendDays,1,TrendDays),OFFSET($F13,0,'Sp2'!DoneDays-TrendDays,1,TrendDays),AD13)&lt;0,"",TREND(OFFSET($F10,0,'Sp2'!DoneDays-TrendDays,1,TrendDays),OFFSET($F13,0,'Sp2'!DoneDays-TrendDays,1,TrendDays),AD13))</f>
        <v/>
      </c>
    </row>
    <row r="13" ht="12.75" hidden="1" customHeight="1">
      <c r="A13" s="68" t="s">
        <v>60</v>
      </c>
      <c r="C13" s="62" t="s">
        <v>61</v>
      </c>
      <c r="D13" s="3">
        <f>IF('Sp2'!DoneDays&gt;B10,B10,'Sp2'!DoneDays)</f>
        <v>5</v>
      </c>
      <c r="E13" s="3"/>
      <c r="F13" s="3">
        <f>IF('Sp2'!DoneDays&gt;E13,E13+1,"")</f>
        <v>1</v>
      </c>
      <c r="G13" s="3">
        <v>2.0</v>
      </c>
      <c r="H13" s="3">
        <v>3.0</v>
      </c>
      <c r="I13" s="3">
        <v>4.0</v>
      </c>
      <c r="J13" s="3">
        <v>5.0</v>
      </c>
      <c r="K13" s="3">
        <v>6.0</v>
      </c>
      <c r="L13" s="3">
        <v>7.0</v>
      </c>
      <c r="M13" s="3">
        <v>8.0</v>
      </c>
      <c r="N13" s="3">
        <v>9.0</v>
      </c>
      <c r="O13" s="3">
        <v>10.0</v>
      </c>
      <c r="P13" s="3">
        <v>11.0</v>
      </c>
      <c r="Q13" s="3">
        <v>12.0</v>
      </c>
      <c r="R13" s="3">
        <v>13.0</v>
      </c>
      <c r="S13" s="3">
        <v>14.0</v>
      </c>
      <c r="T13" s="3">
        <v>15.0</v>
      </c>
      <c r="U13" s="3">
        <v>16.0</v>
      </c>
      <c r="V13" s="3">
        <v>17.0</v>
      </c>
      <c r="W13" s="3">
        <v>18.0</v>
      </c>
      <c r="X13" s="3">
        <v>19.0</v>
      </c>
      <c r="Y13" s="3">
        <v>20.0</v>
      </c>
      <c r="Z13" s="3">
        <v>21.0</v>
      </c>
      <c r="AA13" s="3">
        <v>22.0</v>
      </c>
      <c r="AB13" s="3">
        <v>23.0</v>
      </c>
      <c r="AC13" s="3">
        <v>24.0</v>
      </c>
      <c r="AD13" s="3">
        <v>25.0</v>
      </c>
    </row>
    <row r="14" ht="12.75" customHeight="1">
      <c r="A14" s="76" t="s">
        <v>62</v>
      </c>
      <c r="B14" s="81" t="s">
        <v>11</v>
      </c>
      <c r="C14" s="76" t="s">
        <v>63</v>
      </c>
      <c r="D14" s="76" t="s">
        <v>8</v>
      </c>
      <c r="E14" s="81" t="s">
        <v>64</v>
      </c>
      <c r="F14" s="81">
        <v>1.0</v>
      </c>
      <c r="G14" s="81">
        <f t="shared" ref="G14:J14" si="1">IF($B$9&gt;F14,F14+1,"")</f>
        <v>2</v>
      </c>
      <c r="H14" s="81">
        <f t="shared" si="1"/>
        <v>3</v>
      </c>
      <c r="I14" s="81">
        <f t="shared" si="1"/>
        <v>4</v>
      </c>
      <c r="J14" s="81">
        <f t="shared" si="1"/>
        <v>5</v>
      </c>
      <c r="K14" s="82">
        <v>6.0</v>
      </c>
      <c r="L14" s="82">
        <v>7.0</v>
      </c>
      <c r="M14" s="82">
        <v>8.0</v>
      </c>
      <c r="N14" s="82">
        <v>9.0</v>
      </c>
      <c r="O14" s="82">
        <v>10.0</v>
      </c>
      <c r="P14" s="82">
        <v>11.0</v>
      </c>
      <c r="Q14" s="82">
        <v>12.0</v>
      </c>
      <c r="R14" s="82">
        <v>13.0</v>
      </c>
      <c r="S14" s="82">
        <v>14.0</v>
      </c>
      <c r="T14" s="81" t="str">
        <f t="shared" ref="T14:AD14" si="2">IF($B$9&gt;S14,S14+1,"")</f>
        <v/>
      </c>
      <c r="U14" s="81" t="str">
        <f t="shared" si="2"/>
        <v/>
      </c>
      <c r="V14" s="81" t="str">
        <f t="shared" si="2"/>
        <v/>
      </c>
      <c r="W14" s="81" t="str">
        <f t="shared" si="2"/>
        <v/>
      </c>
      <c r="X14" s="81" t="str">
        <f t="shared" si="2"/>
        <v/>
      </c>
      <c r="Y14" s="81" t="str">
        <f t="shared" si="2"/>
        <v/>
      </c>
      <c r="Z14" s="81" t="str">
        <f t="shared" si="2"/>
        <v/>
      </c>
      <c r="AA14" s="81" t="str">
        <f t="shared" si="2"/>
        <v/>
      </c>
      <c r="AB14" s="81" t="str">
        <f t="shared" si="2"/>
        <v/>
      </c>
      <c r="AC14" s="81" t="str">
        <f t="shared" si="2"/>
        <v/>
      </c>
      <c r="AD14" s="81" t="str">
        <f t="shared" si="2"/>
        <v/>
      </c>
    </row>
    <row r="15" ht="12.75" customHeight="1">
      <c r="A15" s="72" t="s">
        <v>75</v>
      </c>
      <c r="B15" s="73">
        <v>6.0</v>
      </c>
      <c r="C15" s="72" t="s">
        <v>76</v>
      </c>
      <c r="D15" s="62" t="str">
        <f t="shared" ref="D15:D59" si="3">IF(A15&lt;&gt;"","Planned","")</f>
        <v>Planned</v>
      </c>
      <c r="E15" s="73">
        <v>2.0</v>
      </c>
      <c r="F15" s="3">
        <f t="shared" ref="F15:F59" si="4">IF(OR(F$14="",$E15=""),"",E15)</f>
        <v>2</v>
      </c>
      <c r="G15" s="83">
        <v>2.0</v>
      </c>
      <c r="H15" s="83">
        <v>2.0</v>
      </c>
      <c r="I15" s="83">
        <v>2.0</v>
      </c>
      <c r="J15" s="83">
        <v>2.0</v>
      </c>
      <c r="K15" s="83">
        <v>2.0</v>
      </c>
      <c r="L15" s="83">
        <v>1.0</v>
      </c>
      <c r="M15" s="83">
        <v>0.0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</row>
    <row r="16" ht="12.75" customHeight="1">
      <c r="A16" s="84" t="s">
        <v>77</v>
      </c>
      <c r="B16" s="73">
        <v>10.0</v>
      </c>
      <c r="C16" s="72" t="s">
        <v>78</v>
      </c>
      <c r="D16" s="62" t="str">
        <f t="shared" si="3"/>
        <v>Planned</v>
      </c>
      <c r="E16" s="73">
        <v>2.0</v>
      </c>
      <c r="F16" s="3">
        <f t="shared" si="4"/>
        <v>2</v>
      </c>
      <c r="G16" s="83">
        <v>2.0</v>
      </c>
      <c r="H16" s="83">
        <v>2.0</v>
      </c>
      <c r="I16" s="83">
        <v>2.0</v>
      </c>
      <c r="J16" s="83">
        <v>2.0</v>
      </c>
      <c r="K16" s="83">
        <v>2.0</v>
      </c>
      <c r="L16" s="83">
        <v>1.0</v>
      </c>
      <c r="M16" s="83">
        <v>1.0</v>
      </c>
      <c r="N16" s="83">
        <v>0.0</v>
      </c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 t="str">
        <f t="shared" ref="AC16:AD16" si="5">IF(OR(AC$14="",$E16=""),"",AB16)</f>
        <v/>
      </c>
      <c r="AD16" s="3" t="str">
        <f t="shared" si="5"/>
        <v/>
      </c>
    </row>
    <row r="17" ht="12.75" customHeight="1">
      <c r="A17" s="84" t="s">
        <v>79</v>
      </c>
      <c r="B17" s="73">
        <v>11.0</v>
      </c>
      <c r="C17" s="72" t="s">
        <v>80</v>
      </c>
      <c r="D17" s="62" t="str">
        <f t="shared" si="3"/>
        <v>Planned</v>
      </c>
      <c r="E17" s="73">
        <v>5.0</v>
      </c>
      <c r="F17" s="3">
        <f t="shared" si="4"/>
        <v>5</v>
      </c>
      <c r="G17" s="83">
        <v>4.0</v>
      </c>
      <c r="H17" s="83">
        <v>4.0</v>
      </c>
      <c r="I17" s="83">
        <v>4.0</v>
      </c>
      <c r="J17" s="83">
        <v>3.0</v>
      </c>
      <c r="K17" s="83">
        <v>3.0</v>
      </c>
      <c r="L17" s="83">
        <v>3.0</v>
      </c>
      <c r="M17" s="83">
        <v>2.0</v>
      </c>
      <c r="N17" s="83">
        <v>1.0</v>
      </c>
      <c r="O17" s="83">
        <v>0.0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 t="str">
        <f t="shared" ref="AC17:AD17" si="6">IF(OR(AC$14="",$E17=""),"",AB17)</f>
        <v/>
      </c>
      <c r="AD17" s="3" t="str">
        <f t="shared" si="6"/>
        <v/>
      </c>
    </row>
    <row r="18" ht="12.75" customHeight="1">
      <c r="A18" s="84" t="s">
        <v>81</v>
      </c>
      <c r="B18" s="73">
        <v>12.0</v>
      </c>
      <c r="C18" s="72" t="s">
        <v>82</v>
      </c>
      <c r="D18" s="62" t="str">
        <f t="shared" si="3"/>
        <v>Planned</v>
      </c>
      <c r="E18" s="73">
        <v>2.0</v>
      </c>
      <c r="F18" s="3">
        <f t="shared" si="4"/>
        <v>2</v>
      </c>
      <c r="G18" s="83">
        <v>2.0</v>
      </c>
      <c r="H18" s="83">
        <v>2.0</v>
      </c>
      <c r="I18" s="83">
        <v>2.0</v>
      </c>
      <c r="J18" s="83">
        <v>2.0</v>
      </c>
      <c r="K18" s="83">
        <v>2.0</v>
      </c>
      <c r="L18" s="83">
        <v>2.0</v>
      </c>
      <c r="M18" s="83">
        <v>2.0</v>
      </c>
      <c r="N18" s="83">
        <v>2.0</v>
      </c>
      <c r="O18" s="83">
        <v>2.0</v>
      </c>
      <c r="P18" s="83">
        <v>1.0</v>
      </c>
      <c r="Q18" s="83">
        <v>0.0</v>
      </c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 t="str">
        <f t="shared" ref="AC18:AD18" si="7">IF(OR(AC$14="",$E18=""),"",AB18)</f>
        <v/>
      </c>
      <c r="AD18" s="3" t="str">
        <f t="shared" si="7"/>
        <v/>
      </c>
    </row>
    <row r="19" ht="12.75" customHeight="1">
      <c r="B19" s="3"/>
      <c r="D19" s="62" t="str">
        <f t="shared" si="3"/>
        <v/>
      </c>
      <c r="E19" s="3"/>
      <c r="F19" s="3" t="str">
        <f t="shared" si="4"/>
        <v/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 t="str">
        <f t="shared" ref="AC19:AD19" si="8">IF(OR(AC$14="",$E19=""),"",AB19)</f>
        <v/>
      </c>
      <c r="AD19" s="3" t="str">
        <f t="shared" si="8"/>
        <v/>
      </c>
    </row>
    <row r="20" ht="12.75" customHeight="1">
      <c r="B20" s="3"/>
      <c r="D20" s="62" t="str">
        <f t="shared" si="3"/>
        <v/>
      </c>
      <c r="E20" s="3"/>
      <c r="F20" s="3" t="str">
        <f t="shared" si="4"/>
        <v/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 t="str">
        <f t="shared" ref="AC20:AD20" si="9">IF(OR(AC$14="",$E20=""),"",AB20)</f>
        <v/>
      </c>
      <c r="AD20" s="3" t="str">
        <f t="shared" si="9"/>
        <v/>
      </c>
    </row>
    <row r="21" ht="12.75" customHeight="1">
      <c r="B21" s="3"/>
      <c r="D21" s="62" t="str">
        <f t="shared" si="3"/>
        <v/>
      </c>
      <c r="E21" s="3"/>
      <c r="F21" s="3" t="str">
        <f t="shared" si="4"/>
        <v/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 t="str">
        <f t="shared" ref="AC21:AD21" si="10">IF(OR(AC$14="",$E21=""),"",AB21)</f>
        <v/>
      </c>
      <c r="AD21" s="3" t="str">
        <f t="shared" si="10"/>
        <v/>
      </c>
    </row>
    <row r="22" ht="12.75" customHeight="1">
      <c r="B22" s="3"/>
      <c r="D22" s="62" t="str">
        <f t="shared" si="3"/>
        <v/>
      </c>
      <c r="E22" s="3"/>
      <c r="F22" s="3" t="str">
        <f t="shared" si="4"/>
        <v/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tr">
        <f t="shared" ref="AC22:AD22" si="11">IF(OR(AC$14="",$E22=""),"",AB22)</f>
        <v/>
      </c>
      <c r="AD22" s="3" t="str">
        <f t="shared" si="11"/>
        <v/>
      </c>
    </row>
    <row r="23" ht="12.75" customHeight="1">
      <c r="B23" s="3"/>
      <c r="D23" s="62" t="str">
        <f t="shared" si="3"/>
        <v/>
      </c>
      <c r="E23" s="3"/>
      <c r="F23" s="3" t="str">
        <f t="shared" si="4"/>
        <v/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 t="str">
        <f t="shared" ref="AC23:AD23" si="12">IF(OR(AC$14="",$E23=""),"",AB23)</f>
        <v/>
      </c>
      <c r="AD23" s="3" t="str">
        <f t="shared" si="12"/>
        <v/>
      </c>
    </row>
    <row r="24" ht="12.75" customHeight="1">
      <c r="B24" s="3"/>
      <c r="D24" s="62" t="str">
        <f t="shared" si="3"/>
        <v/>
      </c>
      <c r="E24" s="3"/>
      <c r="F24" s="3" t="str">
        <f t="shared" si="4"/>
        <v/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 t="str">
        <f t="shared" ref="AC24:AD24" si="13">IF(OR(AC$14="",$E24=""),"",AB24)</f>
        <v/>
      </c>
      <c r="AD24" s="3" t="str">
        <f t="shared" si="13"/>
        <v/>
      </c>
    </row>
    <row r="25" ht="12.75" customHeight="1">
      <c r="B25" s="3"/>
      <c r="D25" s="62" t="str">
        <f t="shared" si="3"/>
        <v/>
      </c>
      <c r="E25" s="3"/>
      <c r="F25" s="3" t="str">
        <f t="shared" si="4"/>
        <v/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 t="str">
        <f t="shared" ref="AC25:AD25" si="14">IF(OR(AC$14="",$E25=""),"",AB25)</f>
        <v/>
      </c>
      <c r="AD25" s="3" t="str">
        <f t="shared" si="14"/>
        <v/>
      </c>
    </row>
    <row r="26" ht="12.75" customHeight="1">
      <c r="B26" s="3"/>
      <c r="D26" s="62" t="str">
        <f t="shared" si="3"/>
        <v/>
      </c>
      <c r="E26" s="3"/>
      <c r="F26" s="3" t="str">
        <f t="shared" si="4"/>
        <v/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 t="str">
        <f t="shared" ref="AC26:AD26" si="15">IF(OR(AC$14="",$E26=""),"",AB26)</f>
        <v/>
      </c>
      <c r="AD26" s="3" t="str">
        <f t="shared" si="15"/>
        <v/>
      </c>
    </row>
    <row r="27" ht="12.75" customHeight="1">
      <c r="B27" s="3"/>
      <c r="D27" s="62" t="str">
        <f t="shared" si="3"/>
        <v/>
      </c>
      <c r="E27" s="3"/>
      <c r="F27" s="3" t="str">
        <f t="shared" si="4"/>
        <v/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 t="str">
        <f t="shared" ref="AC27:AD27" si="16">IF(OR(AC$14="",$E27=""),"",AB27)</f>
        <v/>
      </c>
      <c r="AD27" s="3" t="str">
        <f t="shared" si="16"/>
        <v/>
      </c>
    </row>
    <row r="28" ht="12.75" customHeight="1">
      <c r="B28" s="3"/>
      <c r="D28" s="62" t="str">
        <f t="shared" si="3"/>
        <v/>
      </c>
      <c r="E28" s="3"/>
      <c r="F28" s="3" t="str">
        <f t="shared" si="4"/>
        <v/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 t="str">
        <f t="shared" ref="AC28:AD28" si="17">IF(OR(AC$14="",$E28=""),"",AB28)</f>
        <v/>
      </c>
      <c r="AD28" s="3" t="str">
        <f t="shared" si="17"/>
        <v/>
      </c>
    </row>
    <row r="29" ht="12.75" customHeight="1">
      <c r="B29" s="3"/>
      <c r="D29" s="62" t="str">
        <f t="shared" si="3"/>
        <v/>
      </c>
      <c r="E29" s="3"/>
      <c r="F29" s="3" t="str">
        <f t="shared" si="4"/>
        <v/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 t="str">
        <f t="shared" ref="AC29:AD29" si="18">IF(OR(AC$14="",$E29=""),"",AB29)</f>
        <v/>
      </c>
      <c r="AD29" s="3" t="str">
        <f t="shared" si="18"/>
        <v/>
      </c>
    </row>
    <row r="30" ht="12.75" customHeight="1">
      <c r="B30" s="3"/>
      <c r="D30" s="62" t="str">
        <f t="shared" si="3"/>
        <v/>
      </c>
      <c r="E30" s="3"/>
      <c r="F30" s="3" t="str">
        <f t="shared" si="4"/>
        <v/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 t="str">
        <f t="shared" ref="AC30:AD30" si="19">IF(OR(AC$14="",$E30=""),"",AB30)</f>
        <v/>
      </c>
      <c r="AD30" s="3" t="str">
        <f t="shared" si="19"/>
        <v/>
      </c>
    </row>
    <row r="31" ht="12.75" customHeight="1">
      <c r="B31" s="3"/>
      <c r="D31" s="62" t="str">
        <f t="shared" si="3"/>
        <v/>
      </c>
      <c r="E31" s="3"/>
      <c r="F31" s="3" t="str">
        <f t="shared" si="4"/>
        <v/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 t="str">
        <f t="shared" ref="AC31:AD31" si="20">IF(OR(AC$14="",$E31=""),"",AB31)</f>
        <v/>
      </c>
      <c r="AD31" s="3" t="str">
        <f t="shared" si="20"/>
        <v/>
      </c>
    </row>
    <row r="32" ht="12.75" customHeight="1">
      <c r="B32" s="3"/>
      <c r="D32" s="62" t="str">
        <f t="shared" si="3"/>
        <v/>
      </c>
      <c r="E32" s="3"/>
      <c r="F32" s="3" t="str">
        <f t="shared" si="4"/>
        <v/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 t="str">
        <f t="shared" ref="AC32:AD32" si="21">IF(OR(AC$14="",$E32=""),"",AB32)</f>
        <v/>
      </c>
      <c r="AD32" s="3" t="str">
        <f t="shared" si="21"/>
        <v/>
      </c>
    </row>
    <row r="33" ht="12.75" customHeight="1">
      <c r="B33" s="3"/>
      <c r="D33" s="62" t="str">
        <f t="shared" si="3"/>
        <v/>
      </c>
      <c r="E33" s="3"/>
      <c r="F33" s="3" t="str">
        <f t="shared" si="4"/>
        <v/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 t="str">
        <f t="shared" ref="AC33:AD33" si="22">IF(OR(AC$14="",$E33=""),"",AB33)</f>
        <v/>
      </c>
      <c r="AD33" s="3" t="str">
        <f t="shared" si="22"/>
        <v/>
      </c>
    </row>
    <row r="34" ht="12.75" customHeight="1">
      <c r="B34" s="3"/>
      <c r="D34" s="62" t="str">
        <f t="shared" si="3"/>
        <v/>
      </c>
      <c r="E34" s="3"/>
      <c r="F34" s="3" t="str">
        <f t="shared" si="4"/>
        <v/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 t="str">
        <f t="shared" ref="AC34:AD34" si="23">IF(OR(AC$14="",$E34=""),"",AB34)</f>
        <v/>
      </c>
      <c r="AD34" s="3" t="str">
        <f t="shared" si="23"/>
        <v/>
      </c>
    </row>
    <row r="35" ht="12.75" customHeight="1">
      <c r="B35" s="3"/>
      <c r="D35" s="62" t="str">
        <f t="shared" si="3"/>
        <v/>
      </c>
      <c r="E35" s="3"/>
      <c r="F35" s="3" t="str">
        <f t="shared" si="4"/>
        <v/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 t="str">
        <f t="shared" ref="AC35:AD35" si="24">IF(OR(AC$14="",$E35=""),"",AB35)</f>
        <v/>
      </c>
      <c r="AD35" s="3" t="str">
        <f t="shared" si="24"/>
        <v/>
      </c>
    </row>
    <row r="36" ht="12.75" customHeight="1">
      <c r="B36" s="3"/>
      <c r="D36" s="62" t="str">
        <f t="shared" si="3"/>
        <v/>
      </c>
      <c r="E36" s="3"/>
      <c r="F36" s="3" t="str">
        <f t="shared" si="4"/>
        <v/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 t="str">
        <f t="shared" ref="AC36:AD36" si="25">IF(OR(AC$14="",$E36=""),"",AB36)</f>
        <v/>
      </c>
      <c r="AD36" s="3" t="str">
        <f t="shared" si="25"/>
        <v/>
      </c>
    </row>
    <row r="37" ht="12.75" customHeight="1">
      <c r="B37" s="3"/>
      <c r="D37" s="62" t="str">
        <f t="shared" si="3"/>
        <v/>
      </c>
      <c r="E37" s="3"/>
      <c r="F37" s="3" t="str">
        <f t="shared" si="4"/>
        <v/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 t="str">
        <f t="shared" ref="AC37:AD37" si="26">IF(OR(AC$14="",$E37=""),"",AB37)</f>
        <v/>
      </c>
      <c r="AD37" s="3" t="str">
        <f t="shared" si="26"/>
        <v/>
      </c>
    </row>
    <row r="38" ht="12.75" customHeight="1">
      <c r="B38" s="3"/>
      <c r="D38" s="62" t="str">
        <f t="shared" si="3"/>
        <v/>
      </c>
      <c r="E38" s="3"/>
      <c r="F38" s="3" t="str">
        <f t="shared" si="4"/>
        <v/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 t="str">
        <f t="shared" ref="AC38:AD38" si="27">IF(OR(AC$14="",$E38=""),"",AB38)</f>
        <v/>
      </c>
      <c r="AD38" s="3" t="str">
        <f t="shared" si="27"/>
        <v/>
      </c>
    </row>
    <row r="39" ht="12.75" customHeight="1">
      <c r="B39" s="3"/>
      <c r="D39" s="62" t="str">
        <f t="shared" si="3"/>
        <v/>
      </c>
      <c r="E39" s="3"/>
      <c r="F39" s="3" t="str">
        <f t="shared" si="4"/>
        <v/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 t="str">
        <f t="shared" ref="AC39:AD39" si="28">IF(OR(AC$14="",$E39=""),"",AB39)</f>
        <v/>
      </c>
      <c r="AD39" s="3" t="str">
        <f t="shared" si="28"/>
        <v/>
      </c>
    </row>
    <row r="40" ht="12.75" customHeight="1">
      <c r="B40" s="3"/>
      <c r="D40" s="62" t="str">
        <f t="shared" si="3"/>
        <v/>
      </c>
      <c r="E40" s="3"/>
      <c r="F40" s="3" t="str">
        <f t="shared" si="4"/>
        <v/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 t="str">
        <f t="shared" ref="AC40:AD40" si="29">IF(OR(AC$14="",$E40=""),"",AB40)</f>
        <v/>
      </c>
      <c r="AD40" s="3" t="str">
        <f t="shared" si="29"/>
        <v/>
      </c>
    </row>
    <row r="41" ht="12.75" customHeight="1">
      <c r="B41" s="3"/>
      <c r="D41" s="62" t="str">
        <f t="shared" si="3"/>
        <v/>
      </c>
      <c r="E41" s="3"/>
      <c r="F41" s="3" t="str">
        <f t="shared" si="4"/>
        <v/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 t="str">
        <f t="shared" ref="AC41:AD41" si="30">IF(OR(AC$14="",$E41=""),"",AB41)</f>
        <v/>
      </c>
      <c r="AD41" s="3" t="str">
        <f t="shared" si="30"/>
        <v/>
      </c>
    </row>
    <row r="42" ht="12.75" customHeight="1">
      <c r="B42" s="3"/>
      <c r="D42" s="62" t="str">
        <f t="shared" si="3"/>
        <v/>
      </c>
      <c r="E42" s="3"/>
      <c r="F42" s="3" t="str">
        <f t="shared" si="4"/>
        <v/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 t="str">
        <f t="shared" ref="AC42:AD42" si="31">IF(OR(AC$14="",$E42=""),"",AB42)</f>
        <v/>
      </c>
      <c r="AD42" s="3" t="str">
        <f t="shared" si="31"/>
        <v/>
      </c>
    </row>
    <row r="43" ht="12.75" customHeight="1">
      <c r="B43" s="3"/>
      <c r="D43" s="62" t="str">
        <f t="shared" si="3"/>
        <v/>
      </c>
      <c r="E43" s="3"/>
      <c r="F43" s="3" t="str">
        <f t="shared" si="4"/>
        <v/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 t="str">
        <f t="shared" ref="AC43:AD43" si="32">IF(OR(AC$14="",$E43=""),"",AB43)</f>
        <v/>
      </c>
      <c r="AD43" s="3" t="str">
        <f t="shared" si="32"/>
        <v/>
      </c>
    </row>
    <row r="44" ht="12.75" customHeight="1">
      <c r="B44" s="3"/>
      <c r="D44" s="62" t="str">
        <f t="shared" si="3"/>
        <v/>
      </c>
      <c r="E44" s="3"/>
      <c r="F44" s="3" t="str">
        <f t="shared" si="4"/>
        <v/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 t="str">
        <f t="shared" ref="AC44:AD44" si="33">IF(OR(AC$14="",$E44=""),"",AB44)</f>
        <v/>
      </c>
      <c r="AD44" s="3" t="str">
        <f t="shared" si="33"/>
        <v/>
      </c>
    </row>
    <row r="45" ht="12.75" customHeight="1">
      <c r="B45" s="3"/>
      <c r="D45" s="62" t="str">
        <f t="shared" si="3"/>
        <v/>
      </c>
      <c r="E45" s="3"/>
      <c r="F45" s="3" t="str">
        <f t="shared" si="4"/>
        <v/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 t="str">
        <f t="shared" ref="AC45:AD45" si="34">IF(OR(AC$14="",$E45=""),"",AB45)</f>
        <v/>
      </c>
      <c r="AD45" s="3" t="str">
        <f t="shared" si="34"/>
        <v/>
      </c>
    </row>
    <row r="46" ht="12.75" customHeight="1">
      <c r="B46" s="3"/>
      <c r="D46" s="62" t="str">
        <f t="shared" si="3"/>
        <v/>
      </c>
      <c r="E46" s="3"/>
      <c r="F46" s="3" t="str">
        <f t="shared" si="4"/>
        <v/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 t="str">
        <f t="shared" ref="AC46:AD46" si="35">IF(OR(AC$14="",$E46=""),"",AB46)</f>
        <v/>
      </c>
      <c r="AD46" s="3" t="str">
        <f t="shared" si="35"/>
        <v/>
      </c>
    </row>
    <row r="47" ht="12.75" customHeight="1">
      <c r="B47" s="3"/>
      <c r="D47" s="62" t="str">
        <f t="shared" si="3"/>
        <v/>
      </c>
      <c r="E47" s="3"/>
      <c r="F47" s="3" t="str">
        <f t="shared" si="4"/>
        <v/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 t="str">
        <f t="shared" ref="AC47:AD47" si="36">IF(OR(AC$14="",$E47=""),"",AB47)</f>
        <v/>
      </c>
      <c r="AD47" s="3" t="str">
        <f t="shared" si="36"/>
        <v/>
      </c>
    </row>
    <row r="48" ht="12.75" customHeight="1">
      <c r="B48" s="3"/>
      <c r="D48" s="62" t="str">
        <f t="shared" si="3"/>
        <v/>
      </c>
      <c r="E48" s="3"/>
      <c r="F48" s="3" t="str">
        <f t="shared" si="4"/>
        <v/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 t="str">
        <f t="shared" ref="AC48:AD48" si="37">IF(OR(AC$14="",$E48=""),"",AB48)</f>
        <v/>
      </c>
      <c r="AD48" s="3" t="str">
        <f t="shared" si="37"/>
        <v/>
      </c>
    </row>
    <row r="49" ht="12.75" customHeight="1">
      <c r="B49" s="3"/>
      <c r="D49" s="62" t="str">
        <f t="shared" si="3"/>
        <v/>
      </c>
      <c r="E49" s="3"/>
      <c r="F49" s="3" t="str">
        <f t="shared" si="4"/>
        <v/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 t="str">
        <f t="shared" ref="AC49:AD49" si="38">IF(OR(AC$14="",$E49=""),"",AB49)</f>
        <v/>
      </c>
      <c r="AD49" s="3" t="str">
        <f t="shared" si="38"/>
        <v/>
      </c>
    </row>
    <row r="50" ht="12.75" customHeight="1">
      <c r="B50" s="3"/>
      <c r="D50" s="62" t="str">
        <f t="shared" si="3"/>
        <v/>
      </c>
      <c r="E50" s="3"/>
      <c r="F50" s="3" t="str">
        <f t="shared" si="4"/>
        <v/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 t="str">
        <f t="shared" ref="AC50:AD50" si="39">IF(OR(AC$14="",$E50=""),"",AB50)</f>
        <v/>
      </c>
      <c r="AD50" s="3" t="str">
        <f t="shared" si="39"/>
        <v/>
      </c>
    </row>
    <row r="51" ht="12.75" customHeight="1">
      <c r="B51" s="3"/>
      <c r="D51" s="62" t="str">
        <f t="shared" si="3"/>
        <v/>
      </c>
      <c r="E51" s="3"/>
      <c r="F51" s="3" t="str">
        <f t="shared" si="4"/>
        <v/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 t="str">
        <f t="shared" ref="AC51:AD51" si="40">IF(OR(AC$14="",$E51=""),"",AB51)</f>
        <v/>
      </c>
      <c r="AD51" s="3" t="str">
        <f t="shared" si="40"/>
        <v/>
      </c>
    </row>
    <row r="52" ht="12.75" customHeight="1">
      <c r="B52" s="3"/>
      <c r="D52" s="62" t="str">
        <f t="shared" si="3"/>
        <v/>
      </c>
      <c r="E52" s="3"/>
      <c r="F52" s="3" t="str">
        <f t="shared" si="4"/>
        <v/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 t="str">
        <f t="shared" ref="AC52:AD52" si="41">IF(OR(AC$14="",$E52=""),"",AB52)</f>
        <v/>
      </c>
      <c r="AD52" s="3" t="str">
        <f t="shared" si="41"/>
        <v/>
      </c>
    </row>
    <row r="53" ht="12.75" customHeight="1">
      <c r="B53" s="3"/>
      <c r="D53" s="62" t="str">
        <f t="shared" si="3"/>
        <v/>
      </c>
      <c r="E53" s="3"/>
      <c r="F53" s="3" t="str">
        <f t="shared" si="4"/>
        <v/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 t="str">
        <f t="shared" ref="AC53:AD53" si="42">IF(OR(AC$14="",$E53=""),"",AB53)</f>
        <v/>
      </c>
      <c r="AD53" s="3" t="str">
        <f t="shared" si="42"/>
        <v/>
      </c>
    </row>
    <row r="54" ht="12.75" customHeight="1">
      <c r="B54" s="3"/>
      <c r="D54" s="62" t="str">
        <f t="shared" si="3"/>
        <v/>
      </c>
      <c r="E54" s="3"/>
      <c r="F54" s="3" t="str">
        <f t="shared" si="4"/>
        <v/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 t="str">
        <f t="shared" ref="AC54:AD54" si="43">IF(OR(AC$14="",$E54=""),"",AB54)</f>
        <v/>
      </c>
      <c r="AD54" s="3" t="str">
        <f t="shared" si="43"/>
        <v/>
      </c>
    </row>
    <row r="55" ht="12.75" customHeight="1">
      <c r="B55" s="3"/>
      <c r="D55" s="62" t="str">
        <f t="shared" si="3"/>
        <v/>
      </c>
      <c r="E55" s="3"/>
      <c r="F55" s="3" t="str">
        <f t="shared" si="4"/>
        <v/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 t="str">
        <f t="shared" ref="AC55:AD55" si="44">IF(OR(AC$14="",$E55=""),"",AB55)</f>
        <v/>
      </c>
      <c r="AD55" s="3" t="str">
        <f t="shared" si="44"/>
        <v/>
      </c>
    </row>
    <row r="56" ht="12.75" customHeight="1">
      <c r="B56" s="3"/>
      <c r="D56" s="62" t="str">
        <f t="shared" si="3"/>
        <v/>
      </c>
      <c r="E56" s="3"/>
      <c r="F56" s="3" t="str">
        <f t="shared" si="4"/>
        <v/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 t="str">
        <f t="shared" ref="AC56:AD56" si="45">IF(OR(AC$14="",$E56=""),"",AB56)</f>
        <v/>
      </c>
      <c r="AD56" s="3" t="str">
        <f t="shared" si="45"/>
        <v/>
      </c>
    </row>
    <row r="57" ht="12.75" customHeight="1">
      <c r="B57" s="3"/>
      <c r="D57" s="62" t="str">
        <f t="shared" si="3"/>
        <v/>
      </c>
      <c r="E57" s="3"/>
      <c r="F57" s="3" t="str">
        <f t="shared" si="4"/>
        <v/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 t="str">
        <f t="shared" ref="AC57:AD57" si="46">IF(OR(AC$14="",$E57=""),"",AB57)</f>
        <v/>
      </c>
      <c r="AD57" s="3" t="str">
        <f t="shared" si="46"/>
        <v/>
      </c>
    </row>
    <row r="58" ht="12.75" customHeight="1">
      <c r="B58" s="3"/>
      <c r="D58" s="62" t="str">
        <f t="shared" si="3"/>
        <v/>
      </c>
      <c r="E58" s="3"/>
      <c r="F58" s="3" t="str">
        <f t="shared" si="4"/>
        <v/>
      </c>
      <c r="G58" s="3" t="str">
        <f t="shared" ref="G58:AD58" si="47">IF(OR(G$14="",$E58=""),"",F58)</f>
        <v/>
      </c>
      <c r="H58" s="3" t="str">
        <f t="shared" si="47"/>
        <v/>
      </c>
      <c r="I58" s="3" t="str">
        <f t="shared" si="47"/>
        <v/>
      </c>
      <c r="J58" s="3" t="str">
        <f t="shared" si="47"/>
        <v/>
      </c>
      <c r="K58" s="3" t="str">
        <f t="shared" si="47"/>
        <v/>
      </c>
      <c r="L58" s="3" t="str">
        <f t="shared" si="47"/>
        <v/>
      </c>
      <c r="M58" s="3" t="str">
        <f t="shared" si="47"/>
        <v/>
      </c>
      <c r="N58" s="3" t="str">
        <f t="shared" si="47"/>
        <v/>
      </c>
      <c r="O58" s="3" t="str">
        <f t="shared" si="47"/>
        <v/>
      </c>
      <c r="P58" s="3" t="str">
        <f t="shared" si="47"/>
        <v/>
      </c>
      <c r="Q58" s="3" t="str">
        <f t="shared" si="47"/>
        <v/>
      </c>
      <c r="R58" s="3" t="str">
        <f t="shared" si="47"/>
        <v/>
      </c>
      <c r="S58" s="3" t="str">
        <f t="shared" si="47"/>
        <v/>
      </c>
      <c r="T58" s="3" t="str">
        <f t="shared" si="47"/>
        <v/>
      </c>
      <c r="U58" s="3" t="str">
        <f t="shared" si="47"/>
        <v/>
      </c>
      <c r="V58" s="3" t="str">
        <f t="shared" si="47"/>
        <v/>
      </c>
      <c r="W58" s="3" t="str">
        <f t="shared" si="47"/>
        <v/>
      </c>
      <c r="X58" s="3" t="str">
        <f t="shared" si="47"/>
        <v/>
      </c>
      <c r="Y58" s="3" t="str">
        <f t="shared" si="47"/>
        <v/>
      </c>
      <c r="Z58" s="3" t="str">
        <f t="shared" si="47"/>
        <v/>
      </c>
      <c r="AA58" s="3" t="str">
        <f t="shared" si="47"/>
        <v/>
      </c>
      <c r="AB58" s="3" t="str">
        <f t="shared" si="47"/>
        <v/>
      </c>
      <c r="AC58" s="3" t="str">
        <f t="shared" si="47"/>
        <v/>
      </c>
      <c r="AD58" s="3" t="str">
        <f t="shared" si="47"/>
        <v/>
      </c>
    </row>
    <row r="59" ht="12.75" customHeight="1">
      <c r="B59" s="3"/>
      <c r="D59" s="62" t="str">
        <f t="shared" si="3"/>
        <v/>
      </c>
      <c r="E59" s="3"/>
      <c r="F59" s="3" t="str">
        <f t="shared" si="4"/>
        <v/>
      </c>
      <c r="G59" s="3" t="str">
        <f t="shared" ref="G59:AD59" si="48">IF(OR(G$14="",$E59=""),"",F59)</f>
        <v/>
      </c>
      <c r="H59" s="3" t="str">
        <f t="shared" si="48"/>
        <v/>
      </c>
      <c r="I59" s="3" t="str">
        <f t="shared" si="48"/>
        <v/>
      </c>
      <c r="J59" s="3" t="str">
        <f t="shared" si="48"/>
        <v/>
      </c>
      <c r="K59" s="3" t="str">
        <f t="shared" si="48"/>
        <v/>
      </c>
      <c r="L59" s="3" t="str">
        <f t="shared" si="48"/>
        <v/>
      </c>
      <c r="M59" s="3" t="str">
        <f t="shared" si="48"/>
        <v/>
      </c>
      <c r="N59" s="3" t="str">
        <f t="shared" si="48"/>
        <v/>
      </c>
      <c r="O59" s="3" t="str">
        <f t="shared" si="48"/>
        <v/>
      </c>
      <c r="P59" s="3" t="str">
        <f t="shared" si="48"/>
        <v/>
      </c>
      <c r="Q59" s="3" t="str">
        <f t="shared" si="48"/>
        <v/>
      </c>
      <c r="R59" s="3" t="str">
        <f t="shared" si="48"/>
        <v/>
      </c>
      <c r="S59" s="3" t="str">
        <f t="shared" si="48"/>
        <v/>
      </c>
      <c r="T59" s="3" t="str">
        <f t="shared" si="48"/>
        <v/>
      </c>
      <c r="U59" s="3" t="str">
        <f t="shared" si="48"/>
        <v/>
      </c>
      <c r="V59" s="3" t="str">
        <f t="shared" si="48"/>
        <v/>
      </c>
      <c r="W59" s="3" t="str">
        <f t="shared" si="48"/>
        <v/>
      </c>
      <c r="X59" s="3" t="str">
        <f t="shared" si="48"/>
        <v/>
      </c>
      <c r="Y59" s="3" t="str">
        <f t="shared" si="48"/>
        <v/>
      </c>
      <c r="Z59" s="3" t="str">
        <f t="shared" si="48"/>
        <v/>
      </c>
      <c r="AA59" s="3" t="str">
        <f t="shared" si="48"/>
        <v/>
      </c>
      <c r="AB59" s="3" t="str">
        <f t="shared" si="48"/>
        <v/>
      </c>
      <c r="AC59" s="3" t="str">
        <f t="shared" si="48"/>
        <v/>
      </c>
      <c r="AD59" s="3" t="str">
        <f t="shared" si="48"/>
        <v/>
      </c>
    </row>
    <row r="60" ht="12.75" customHeight="1">
      <c r="B60" s="3"/>
      <c r="D60" s="62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</row>
    <row r="61" ht="12.75" customHeight="1">
      <c r="B61" s="3"/>
      <c r="D61" s="62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</row>
    <row r="62" ht="12.75" customHeight="1">
      <c r="B62" s="3"/>
      <c r="D62" s="62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</row>
    <row r="63" ht="12.75" customHeight="1">
      <c r="B63" s="3"/>
      <c r="D63" s="62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</row>
    <row r="64" ht="12.75" customHeight="1">
      <c r="B64" s="3"/>
      <c r="D64" s="62" t="str">
        <f>IF(A64&lt;&gt;"","Planned","")</f>
        <v/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</row>
    <row r="65" ht="12.75" customHeight="1">
      <c r="B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</row>
    <row r="66" ht="12.75" customHeight="1">
      <c r="B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</row>
    <row r="67" ht="12.75" customHeight="1">
      <c r="B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</row>
    <row r="68" ht="12.75" customHeight="1">
      <c r="B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</row>
    <row r="69" ht="12.75" customHeight="1">
      <c r="B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</row>
    <row r="70" ht="12.75" customHeight="1">
      <c r="B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</row>
    <row r="71" ht="12.75" customHeight="1">
      <c r="B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</row>
    <row r="72" ht="12.75" customHeight="1">
      <c r="B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</row>
    <row r="73" ht="12.75" customHeight="1">
      <c r="B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</row>
    <row r="74" ht="12.75" customHeight="1">
      <c r="B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</row>
    <row r="75" ht="12.75" customHeight="1">
      <c r="B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</row>
    <row r="76" ht="12.75" customHeight="1">
      <c r="B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</row>
    <row r="77" ht="12.75" customHeight="1">
      <c r="B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</row>
    <row r="78" ht="12.75" customHeight="1">
      <c r="B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</row>
    <row r="79" ht="12.75" customHeight="1">
      <c r="B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</row>
    <row r="80" ht="12.75" customHeight="1">
      <c r="B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</row>
    <row r="81" ht="12.75" customHeight="1">
      <c r="B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</row>
    <row r="82" ht="12.75" customHeight="1">
      <c r="B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</row>
    <row r="83" ht="12.75" customHeight="1">
      <c r="B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</row>
    <row r="84" ht="12.75" customHeight="1">
      <c r="B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</row>
    <row r="85" ht="12.75" customHeight="1">
      <c r="B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</row>
    <row r="86" ht="12.75" customHeight="1">
      <c r="B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</row>
    <row r="87" ht="12.75" customHeight="1">
      <c r="B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</row>
    <row r="88" ht="12.75" customHeight="1">
      <c r="B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</row>
    <row r="89" ht="12.75" customHeight="1">
      <c r="B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</row>
    <row r="90" ht="12.75" customHeight="1">
      <c r="B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</row>
    <row r="91" ht="12.75" customHeight="1">
      <c r="B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</row>
    <row r="92" ht="12.75" customHeight="1">
      <c r="B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</row>
    <row r="93" ht="12.75" customHeight="1">
      <c r="B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</row>
    <row r="94" ht="12.75" customHeight="1">
      <c r="B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</row>
    <row r="95" ht="12.75" customHeight="1">
      <c r="B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</row>
    <row r="96" ht="12.75" customHeight="1">
      <c r="B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</row>
    <row r="97" ht="12.75" customHeight="1">
      <c r="B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</row>
    <row r="98" ht="12.75" customHeight="1">
      <c r="B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</row>
    <row r="99" ht="12.75" customHeight="1">
      <c r="B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</row>
    <row r="100" ht="12.75" customHeight="1">
      <c r="B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</row>
    <row r="101" ht="12.75" customHeight="1">
      <c r="B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</row>
    <row r="102" ht="12.75" customHeight="1">
      <c r="B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</row>
    <row r="103" ht="12.75" customHeight="1">
      <c r="B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</row>
    <row r="104" ht="12.75" customHeight="1">
      <c r="B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</row>
    <row r="105" ht="12.75" customHeight="1">
      <c r="B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</row>
    <row r="106" ht="12.75" customHeight="1">
      <c r="B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</row>
    <row r="107" ht="12.75" customHeight="1">
      <c r="B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</row>
    <row r="108" ht="12.75" customHeight="1">
      <c r="B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</row>
    <row r="109" ht="12.75" customHeight="1">
      <c r="B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</row>
    <row r="110" ht="12.75" customHeight="1">
      <c r="B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</row>
    <row r="111" ht="12.75" customHeight="1">
      <c r="B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</row>
    <row r="112" ht="12.75" customHeight="1">
      <c r="B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</row>
    <row r="113" ht="12.75" customHeight="1">
      <c r="B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</row>
    <row r="114" ht="12.75" customHeight="1">
      <c r="B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</row>
    <row r="115" ht="12.75" customHeight="1">
      <c r="B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</row>
    <row r="116" ht="12.75" customHeight="1">
      <c r="B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</row>
    <row r="117" ht="12.75" customHeight="1">
      <c r="B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</row>
    <row r="118" ht="12.75" customHeight="1">
      <c r="B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</row>
    <row r="119" ht="12.75" customHeight="1">
      <c r="B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</row>
    <row r="120" ht="12.75" customHeight="1">
      <c r="B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</row>
    <row r="121" ht="12.75" customHeight="1">
      <c r="B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</row>
    <row r="122" ht="12.75" customHeight="1">
      <c r="B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</row>
    <row r="123" ht="12.75" customHeight="1">
      <c r="B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</row>
    <row r="124" ht="12.75" customHeight="1">
      <c r="B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</row>
    <row r="125" ht="12.75" customHeight="1">
      <c r="B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</row>
    <row r="126" ht="12.75" customHeight="1">
      <c r="B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</row>
    <row r="127" ht="12.75" customHeight="1">
      <c r="B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</row>
    <row r="128" ht="12.75" customHeight="1">
      <c r="B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</row>
    <row r="129" ht="12.75" customHeight="1">
      <c r="B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</row>
    <row r="130" ht="12.75" customHeight="1">
      <c r="B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</row>
    <row r="131" ht="12.75" customHeight="1">
      <c r="B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</row>
    <row r="132" ht="12.75" customHeight="1">
      <c r="B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</row>
    <row r="133" ht="12.75" customHeight="1">
      <c r="B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</row>
    <row r="134" ht="12.75" customHeight="1">
      <c r="B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</row>
    <row r="135" ht="12.75" customHeight="1">
      <c r="B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</row>
    <row r="136" ht="12.75" customHeight="1">
      <c r="B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</row>
    <row r="137" ht="12.75" customHeight="1">
      <c r="B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</row>
    <row r="138" ht="12.75" customHeight="1">
      <c r="B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</row>
    <row r="139" ht="12.75" customHeight="1">
      <c r="B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</row>
    <row r="140" ht="12.75" customHeight="1">
      <c r="B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</row>
    <row r="141" ht="12.75" customHeight="1">
      <c r="B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</row>
    <row r="142" ht="12.75" customHeight="1">
      <c r="B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</row>
    <row r="143" ht="12.75" customHeight="1">
      <c r="B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</row>
    <row r="144" ht="12.75" customHeight="1">
      <c r="B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</row>
    <row r="145" ht="12.75" customHeight="1">
      <c r="B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</row>
    <row r="146" ht="12.75" customHeight="1">
      <c r="B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</row>
    <row r="147" ht="12.75" customHeight="1">
      <c r="B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</row>
    <row r="148" ht="12.75" customHeight="1">
      <c r="B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</row>
    <row r="149" ht="12.75" customHeight="1">
      <c r="B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</row>
    <row r="150" ht="12.75" customHeight="1">
      <c r="B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</row>
    <row r="151" ht="12.75" customHeight="1">
      <c r="B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</row>
    <row r="152" ht="12.75" customHeight="1">
      <c r="B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</row>
    <row r="153" ht="12.75" customHeight="1">
      <c r="B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</row>
    <row r="154" ht="12.75" customHeight="1">
      <c r="B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</row>
    <row r="155" ht="12.75" customHeight="1">
      <c r="B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</row>
    <row r="156" ht="12.75" customHeight="1">
      <c r="B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</row>
    <row r="157" ht="12.75" customHeight="1">
      <c r="B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</row>
    <row r="158" ht="12.75" customHeight="1">
      <c r="B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</row>
    <row r="159" ht="12.75" customHeight="1">
      <c r="B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</row>
    <row r="160" ht="12.75" customHeight="1">
      <c r="B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</row>
    <row r="161" ht="12.75" customHeight="1">
      <c r="B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</row>
    <row r="162" ht="12.75" customHeight="1">
      <c r="B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</row>
    <row r="163" ht="12.75" customHeight="1">
      <c r="B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</row>
    <row r="164" ht="12.75" customHeight="1">
      <c r="B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</row>
    <row r="165" ht="12.75" customHeight="1">
      <c r="B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</row>
    <row r="166" ht="12.75" customHeight="1">
      <c r="B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</row>
    <row r="167" ht="12.75" customHeight="1">
      <c r="B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</row>
    <row r="168" ht="12.75" customHeight="1">
      <c r="B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</row>
    <row r="169" ht="12.75" customHeight="1">
      <c r="B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</row>
    <row r="170" ht="12.75" customHeight="1">
      <c r="B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</row>
    <row r="171" ht="12.75" customHeight="1">
      <c r="B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</row>
    <row r="172" ht="12.75" customHeight="1">
      <c r="B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</row>
    <row r="173" ht="12.75" customHeight="1">
      <c r="B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</row>
    <row r="174" ht="12.75" customHeight="1">
      <c r="B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</row>
    <row r="175" ht="12.75" customHeight="1">
      <c r="B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</row>
    <row r="176" ht="12.75" customHeight="1">
      <c r="B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</row>
    <row r="177" ht="12.75" customHeight="1">
      <c r="B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</row>
    <row r="178" ht="12.75" customHeight="1">
      <c r="B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</row>
    <row r="179" ht="12.75" customHeight="1">
      <c r="B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</row>
    <row r="180" ht="12.75" customHeight="1">
      <c r="B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</row>
    <row r="181" ht="12.75" customHeight="1">
      <c r="B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</row>
    <row r="182" ht="12.75" customHeight="1">
      <c r="B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</row>
    <row r="183" ht="12.75" customHeight="1">
      <c r="B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</row>
    <row r="184" ht="12.75" customHeight="1">
      <c r="B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</row>
    <row r="185" ht="12.75" customHeight="1">
      <c r="B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</row>
    <row r="186" ht="12.75" customHeight="1">
      <c r="B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</row>
    <row r="187" ht="12.75" customHeight="1">
      <c r="B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</row>
    <row r="188" ht="12.75" customHeight="1">
      <c r="B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</row>
    <row r="189" ht="12.75" customHeight="1">
      <c r="B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</row>
    <row r="190" ht="12.75" customHeight="1">
      <c r="B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</row>
    <row r="191" ht="12.75" customHeight="1">
      <c r="B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</row>
    <row r="192" ht="12.75" customHeight="1">
      <c r="B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</row>
    <row r="193" ht="12.75" customHeight="1">
      <c r="B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</row>
    <row r="194" ht="12.75" customHeight="1">
      <c r="B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</row>
    <row r="195" ht="12.75" customHeight="1">
      <c r="B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</row>
    <row r="196" ht="12.75" customHeight="1">
      <c r="B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</row>
    <row r="197" ht="12.75" customHeight="1">
      <c r="B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</row>
    <row r="198" ht="12.75" customHeight="1">
      <c r="B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</row>
    <row r="199" ht="12.75" customHeight="1">
      <c r="B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</row>
    <row r="200" ht="12.75" customHeight="1">
      <c r="B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</row>
    <row r="201" ht="12.75" customHeight="1">
      <c r="B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</row>
    <row r="202" ht="12.75" customHeight="1">
      <c r="B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</row>
    <row r="203" ht="12.75" customHeight="1">
      <c r="B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</row>
    <row r="204" ht="12.75" customHeight="1">
      <c r="B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</row>
    <row r="205" ht="12.75" customHeight="1">
      <c r="B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</row>
    <row r="206" ht="12.75" customHeight="1">
      <c r="B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</row>
    <row r="207" ht="12.75" customHeight="1">
      <c r="B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</row>
    <row r="208" ht="12.75" customHeight="1">
      <c r="B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</row>
    <row r="209" ht="12.75" customHeight="1">
      <c r="B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</row>
    <row r="210" ht="12.75" customHeight="1">
      <c r="B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</row>
    <row r="211" ht="12.75" customHeight="1">
      <c r="B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</row>
    <row r="212" ht="12.75" customHeight="1">
      <c r="B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</row>
    <row r="213" ht="12.75" customHeight="1">
      <c r="B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</row>
    <row r="214" ht="12.75" customHeight="1">
      <c r="B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</row>
    <row r="215" ht="12.75" customHeight="1">
      <c r="B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</row>
    <row r="216" ht="12.75" customHeight="1">
      <c r="B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</row>
    <row r="217" ht="12.75" customHeight="1">
      <c r="B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</row>
    <row r="218" ht="12.75" customHeight="1">
      <c r="B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</row>
    <row r="219" ht="12.75" customHeight="1">
      <c r="B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</row>
    <row r="220" ht="12.75" customHeight="1">
      <c r="B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</row>
    <row r="221" ht="12.75" customHeight="1">
      <c r="B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</row>
    <row r="222" ht="12.75" customHeight="1">
      <c r="B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</row>
    <row r="223" ht="12.75" customHeight="1">
      <c r="B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</row>
    <row r="224" ht="12.75" customHeight="1">
      <c r="B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</row>
    <row r="225" ht="12.75" customHeight="1">
      <c r="B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</row>
    <row r="226" ht="12.75" customHeight="1">
      <c r="B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</row>
    <row r="227" ht="12.75" customHeight="1">
      <c r="B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</row>
    <row r="228" ht="12.75" customHeight="1">
      <c r="B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</row>
    <row r="229" ht="12.75" customHeight="1">
      <c r="B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</row>
    <row r="230" ht="12.75" customHeight="1">
      <c r="B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</row>
    <row r="231" ht="12.75" customHeight="1">
      <c r="B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</row>
    <row r="232" ht="12.75" customHeight="1">
      <c r="B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</row>
    <row r="233" ht="12.75" customHeight="1">
      <c r="B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</row>
    <row r="234" ht="12.75" customHeight="1">
      <c r="B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</row>
    <row r="235" ht="12.75" customHeight="1">
      <c r="B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</row>
    <row r="236" ht="12.75" customHeight="1">
      <c r="B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</row>
    <row r="237" ht="12.75" customHeight="1">
      <c r="B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</row>
    <row r="238" ht="12.75" customHeight="1">
      <c r="B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</row>
    <row r="239" ht="12.75" customHeight="1">
      <c r="B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</row>
    <row r="240" ht="12.75" customHeight="1">
      <c r="B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</row>
    <row r="241" ht="12.75" customHeight="1">
      <c r="B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</row>
    <row r="242" ht="12.75" customHeight="1">
      <c r="B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</row>
    <row r="243" ht="12.75" customHeight="1">
      <c r="B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</row>
    <row r="244" ht="12.75" customHeight="1">
      <c r="B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</row>
    <row r="245" ht="12.75" customHeight="1">
      <c r="B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</row>
    <row r="246" ht="12.75" customHeight="1">
      <c r="B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</row>
    <row r="247" ht="12.75" customHeight="1">
      <c r="B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</row>
    <row r="248" ht="12.75" customHeight="1">
      <c r="B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</row>
    <row r="249" ht="12.75" customHeight="1">
      <c r="B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</row>
    <row r="250" ht="12.75" customHeight="1">
      <c r="B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</row>
    <row r="251" ht="12.75" customHeight="1">
      <c r="B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</row>
    <row r="252" ht="12.75" customHeight="1">
      <c r="B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</row>
    <row r="253" ht="12.75" customHeight="1">
      <c r="B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</row>
    <row r="254" ht="12.75" customHeight="1">
      <c r="B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</row>
    <row r="255" ht="12.75" customHeight="1">
      <c r="B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</row>
    <row r="256" ht="12.75" customHeight="1">
      <c r="B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</row>
    <row r="257" ht="12.75" customHeight="1">
      <c r="B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</row>
    <row r="258" ht="12.75" customHeight="1">
      <c r="B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</row>
    <row r="259" ht="12.75" customHeight="1">
      <c r="B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</row>
    <row r="260" ht="12.75" customHeight="1">
      <c r="B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</row>
    <row r="261" ht="12.75" customHeight="1">
      <c r="B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</row>
    <row r="262" ht="12.75" customHeight="1">
      <c r="B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</row>
    <row r="263" ht="12.75" customHeight="1">
      <c r="B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</row>
    <row r="264" ht="12.75" customHeight="1">
      <c r="B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</row>
    <row r="265" ht="12.75" customHeight="1">
      <c r="B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</row>
    <row r="266" ht="12.75" customHeight="1">
      <c r="B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</row>
    <row r="267" ht="12.75" customHeight="1">
      <c r="B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</row>
    <row r="268" ht="12.75" customHeight="1">
      <c r="B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</row>
    <row r="269" ht="12.75" customHeight="1">
      <c r="B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</row>
    <row r="270" ht="12.75" customHeight="1">
      <c r="B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</row>
    <row r="271" ht="12.75" customHeight="1">
      <c r="B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</row>
    <row r="272" ht="12.75" customHeight="1">
      <c r="B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</row>
    <row r="273" ht="12.75" customHeight="1">
      <c r="B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</row>
    <row r="274" ht="12.75" customHeight="1">
      <c r="B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</row>
    <row r="275" ht="12.75" customHeight="1">
      <c r="B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</row>
    <row r="276" ht="12.75" customHeight="1">
      <c r="B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</row>
    <row r="277" ht="12.75" customHeight="1">
      <c r="B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</row>
    <row r="278" ht="12.75" customHeight="1">
      <c r="B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</row>
    <row r="279" ht="12.75" customHeight="1">
      <c r="B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</row>
    <row r="280" ht="12.75" customHeight="1">
      <c r="B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</row>
    <row r="281" ht="12.75" customHeight="1">
      <c r="B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</row>
    <row r="282" ht="12.75" customHeight="1">
      <c r="B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</row>
    <row r="283" ht="12.75" customHeight="1">
      <c r="B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</row>
    <row r="284" ht="12.75" customHeight="1">
      <c r="B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</row>
    <row r="285" ht="12.75" customHeight="1">
      <c r="B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</row>
    <row r="286" ht="12.75" customHeight="1">
      <c r="B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</row>
    <row r="287" ht="12.75" customHeight="1">
      <c r="B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</row>
    <row r="288" ht="12.75" customHeight="1">
      <c r="B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</row>
    <row r="289" ht="12.75" customHeight="1">
      <c r="B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</row>
    <row r="290" ht="12.75" customHeight="1">
      <c r="B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</row>
    <row r="291" ht="12.75" customHeight="1">
      <c r="B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</row>
    <row r="292" ht="12.75" customHeight="1">
      <c r="B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</row>
    <row r="293" ht="12.75" customHeight="1">
      <c r="B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</row>
    <row r="294" ht="12.75" customHeight="1">
      <c r="B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</row>
    <row r="295" ht="12.75" customHeight="1">
      <c r="B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</row>
    <row r="296" ht="12.75" customHeight="1">
      <c r="B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</row>
    <row r="297" ht="12.75" customHeight="1">
      <c r="B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</row>
    <row r="298" ht="12.75" customHeight="1">
      <c r="B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</row>
    <row r="299" ht="12.75" customHeight="1">
      <c r="B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</row>
    <row r="300" ht="12.75" customHeight="1">
      <c r="B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</row>
    <row r="301" ht="12.75" customHeight="1">
      <c r="B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</row>
    <row r="302" ht="12.75" customHeight="1">
      <c r="B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</row>
    <row r="303" ht="12.75" customHeight="1">
      <c r="B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</row>
    <row r="304" ht="12.75" customHeight="1">
      <c r="B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</row>
    <row r="305" ht="12.75" customHeight="1">
      <c r="B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</row>
    <row r="306" ht="12.75" customHeight="1">
      <c r="B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</row>
    <row r="307" ht="12.75" customHeight="1">
      <c r="B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</row>
    <row r="308" ht="12.75" customHeight="1">
      <c r="B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</row>
    <row r="309" ht="12.75" customHeight="1">
      <c r="B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</row>
    <row r="310" ht="12.75" customHeight="1">
      <c r="B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</row>
    <row r="311" ht="12.75" customHeight="1">
      <c r="B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</row>
    <row r="312" ht="12.75" customHeight="1">
      <c r="B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</row>
    <row r="313" ht="12.75" customHeight="1">
      <c r="B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</row>
    <row r="314" ht="12.75" customHeight="1">
      <c r="B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</row>
    <row r="315" ht="12.75" customHeight="1">
      <c r="B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</row>
    <row r="316" ht="12.75" customHeight="1">
      <c r="B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</row>
    <row r="317" ht="12.75" customHeight="1">
      <c r="B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</row>
    <row r="318" ht="12.75" customHeight="1">
      <c r="B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</row>
    <row r="319" ht="12.75" customHeight="1">
      <c r="B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</row>
    <row r="320" ht="12.75" customHeight="1">
      <c r="B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</row>
    <row r="321" ht="12.75" customHeight="1">
      <c r="B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</row>
    <row r="322" ht="12.75" customHeight="1">
      <c r="B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</row>
    <row r="323" ht="12.75" customHeight="1">
      <c r="B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</row>
    <row r="324" ht="12.75" customHeight="1">
      <c r="B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</row>
    <row r="325" ht="12.75" customHeight="1">
      <c r="B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</row>
    <row r="326" ht="12.75" customHeight="1">
      <c r="B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</row>
    <row r="327" ht="12.75" customHeight="1">
      <c r="B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</row>
    <row r="328" ht="12.75" customHeight="1">
      <c r="B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</row>
    <row r="329" ht="12.75" customHeight="1">
      <c r="B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</row>
    <row r="330" ht="12.75" customHeight="1">
      <c r="B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</row>
    <row r="331" ht="12.75" customHeight="1">
      <c r="B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</row>
    <row r="332" ht="12.75" customHeight="1">
      <c r="B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</row>
    <row r="333" ht="12.75" customHeight="1">
      <c r="B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</row>
    <row r="334" ht="12.75" customHeight="1">
      <c r="B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</row>
    <row r="335" ht="12.75" customHeight="1">
      <c r="B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</row>
    <row r="336" ht="12.75" customHeight="1">
      <c r="B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</row>
    <row r="337" ht="12.75" customHeight="1">
      <c r="B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</row>
    <row r="338" ht="12.75" customHeight="1">
      <c r="B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</row>
    <row r="339" ht="12.75" customHeight="1">
      <c r="B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</row>
    <row r="340" ht="12.75" customHeight="1">
      <c r="B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</row>
    <row r="341" ht="12.75" customHeight="1">
      <c r="B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</row>
    <row r="342" ht="12.75" customHeight="1">
      <c r="B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</row>
    <row r="343" ht="12.75" customHeight="1">
      <c r="B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</row>
    <row r="344" ht="12.75" customHeight="1">
      <c r="B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</row>
    <row r="345" ht="12.75" customHeight="1">
      <c r="B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</row>
    <row r="346" ht="12.75" customHeight="1">
      <c r="B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</row>
    <row r="347" ht="12.75" customHeight="1">
      <c r="B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</row>
    <row r="348" ht="12.75" customHeight="1">
      <c r="B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</row>
    <row r="349" ht="12.75" customHeight="1">
      <c r="B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</row>
    <row r="350" ht="12.75" customHeight="1">
      <c r="B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</row>
    <row r="351" ht="12.75" customHeight="1">
      <c r="B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</row>
    <row r="352" ht="12.75" customHeight="1">
      <c r="B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</row>
    <row r="353" ht="12.75" customHeight="1">
      <c r="B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</row>
    <row r="354" ht="12.75" customHeight="1">
      <c r="B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</row>
    <row r="355" ht="12.75" customHeight="1">
      <c r="B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</row>
    <row r="356" ht="12.75" customHeight="1">
      <c r="B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</row>
    <row r="357" ht="12.75" customHeight="1">
      <c r="B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</row>
    <row r="358" ht="12.75" customHeight="1">
      <c r="B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</row>
    <row r="359" ht="12.75" customHeight="1">
      <c r="B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</row>
    <row r="360" ht="12.75" customHeight="1">
      <c r="B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</row>
    <row r="361" ht="12.75" customHeight="1">
      <c r="B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</row>
    <row r="362" ht="12.75" customHeight="1">
      <c r="B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</row>
    <row r="363" ht="12.75" customHeight="1">
      <c r="B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</row>
    <row r="364" ht="12.75" customHeight="1">
      <c r="B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</row>
    <row r="365" ht="12.75" customHeight="1">
      <c r="B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</row>
    <row r="366" ht="12.75" customHeight="1">
      <c r="B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</row>
    <row r="367" ht="12.75" customHeight="1">
      <c r="B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</row>
    <row r="368" ht="12.75" customHeight="1">
      <c r="B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</row>
    <row r="369" ht="12.75" customHeight="1">
      <c r="B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</row>
    <row r="370" ht="12.75" customHeight="1">
      <c r="B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</row>
    <row r="371" ht="12.75" customHeight="1">
      <c r="B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</row>
    <row r="372" ht="12.75" customHeight="1">
      <c r="B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</row>
    <row r="373" ht="12.75" customHeight="1">
      <c r="B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</row>
    <row r="374" ht="12.75" customHeight="1">
      <c r="B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</row>
    <row r="375" ht="12.75" customHeight="1">
      <c r="B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</row>
    <row r="376" ht="12.75" customHeight="1">
      <c r="B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</row>
    <row r="377" ht="12.75" customHeight="1">
      <c r="B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</row>
    <row r="378" ht="12.75" customHeight="1">
      <c r="B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</row>
    <row r="379" ht="12.75" customHeight="1">
      <c r="B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</row>
    <row r="380" ht="12.75" customHeight="1">
      <c r="B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</row>
    <row r="381" ht="12.75" customHeight="1">
      <c r="B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</row>
    <row r="382" ht="12.75" customHeight="1">
      <c r="B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</row>
    <row r="383" ht="12.75" customHeight="1">
      <c r="B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</row>
    <row r="384" ht="12.75" customHeight="1">
      <c r="B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</row>
    <row r="385" ht="12.75" customHeight="1">
      <c r="B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</row>
    <row r="386" ht="12.75" customHeight="1">
      <c r="B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</row>
    <row r="387" ht="12.75" customHeight="1">
      <c r="B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</row>
    <row r="388" ht="12.75" customHeight="1">
      <c r="B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</row>
    <row r="389" ht="12.75" customHeight="1">
      <c r="B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</row>
    <row r="390" ht="12.75" customHeight="1">
      <c r="B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</row>
    <row r="391" ht="12.75" customHeight="1">
      <c r="B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</row>
    <row r="392" ht="12.75" customHeight="1">
      <c r="B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</row>
    <row r="393" ht="12.75" customHeight="1">
      <c r="B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</row>
    <row r="394" ht="12.75" customHeight="1">
      <c r="B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</row>
    <row r="395" ht="12.75" customHeight="1">
      <c r="B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</row>
    <row r="396" ht="12.75" customHeight="1">
      <c r="B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</row>
    <row r="397" ht="12.75" customHeight="1">
      <c r="B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</row>
    <row r="398" ht="12.75" customHeight="1">
      <c r="B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</row>
    <row r="399" ht="12.75" customHeight="1">
      <c r="B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</row>
    <row r="400" ht="12.75" customHeight="1">
      <c r="B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</row>
    <row r="401" ht="12.75" customHeight="1">
      <c r="B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</row>
    <row r="402" ht="12.75" customHeight="1">
      <c r="B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</row>
    <row r="403" ht="12.75" customHeight="1">
      <c r="B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</row>
    <row r="404" ht="12.75" customHeight="1">
      <c r="B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</row>
    <row r="405" ht="12.75" customHeight="1">
      <c r="B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</row>
    <row r="406" ht="12.75" customHeight="1">
      <c r="B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</row>
    <row r="407" ht="12.75" customHeight="1">
      <c r="B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</row>
    <row r="408" ht="12.75" customHeight="1">
      <c r="B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</row>
    <row r="409" ht="12.75" customHeight="1">
      <c r="B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</row>
    <row r="410" ht="12.75" customHeight="1">
      <c r="B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</row>
    <row r="411" ht="12.75" customHeight="1">
      <c r="B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</row>
    <row r="412" ht="12.75" customHeight="1">
      <c r="B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</row>
    <row r="413" ht="12.75" customHeight="1">
      <c r="B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</row>
    <row r="414" ht="12.75" customHeight="1">
      <c r="B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</row>
    <row r="415" ht="12.75" customHeight="1">
      <c r="B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</row>
    <row r="416" ht="12.75" customHeight="1">
      <c r="B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</row>
    <row r="417" ht="12.75" customHeight="1">
      <c r="B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</row>
    <row r="418" ht="12.75" customHeight="1">
      <c r="B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</row>
    <row r="419" ht="12.75" customHeight="1">
      <c r="B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</row>
    <row r="420" ht="12.75" customHeight="1">
      <c r="B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</row>
    <row r="421" ht="12.75" customHeight="1">
      <c r="B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</row>
    <row r="422" ht="12.75" customHeight="1">
      <c r="B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</row>
    <row r="423" ht="12.75" customHeight="1">
      <c r="B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</row>
    <row r="424" ht="12.75" customHeight="1">
      <c r="B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</row>
    <row r="425" ht="12.75" customHeight="1">
      <c r="B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</row>
    <row r="426" ht="12.75" customHeight="1">
      <c r="B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</row>
    <row r="427" ht="12.75" customHeight="1">
      <c r="B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</row>
    <row r="428" ht="12.75" customHeight="1">
      <c r="B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</row>
    <row r="429" ht="12.75" customHeight="1">
      <c r="B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</row>
    <row r="430" ht="12.75" customHeight="1">
      <c r="B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</row>
    <row r="431" ht="12.75" customHeight="1">
      <c r="B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</row>
    <row r="432" ht="12.75" customHeight="1">
      <c r="B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</row>
    <row r="433" ht="12.75" customHeight="1">
      <c r="B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</row>
    <row r="434" ht="12.75" customHeight="1">
      <c r="B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</row>
    <row r="435" ht="12.75" customHeight="1">
      <c r="B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</row>
    <row r="436" ht="12.75" customHeight="1">
      <c r="B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</row>
    <row r="437" ht="12.75" customHeight="1">
      <c r="B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</row>
    <row r="438" ht="12.75" customHeight="1">
      <c r="B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</row>
    <row r="439" ht="12.75" customHeight="1">
      <c r="B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</row>
    <row r="440" ht="12.75" customHeight="1">
      <c r="B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</row>
    <row r="441" ht="12.75" customHeight="1">
      <c r="B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</row>
    <row r="442" ht="12.75" customHeight="1">
      <c r="B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</row>
    <row r="443" ht="12.75" customHeight="1">
      <c r="B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</row>
    <row r="444" ht="12.75" customHeight="1">
      <c r="B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</row>
    <row r="445" ht="12.75" customHeight="1">
      <c r="B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</row>
    <row r="446" ht="12.75" customHeight="1">
      <c r="B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</row>
    <row r="447" ht="12.75" customHeight="1">
      <c r="B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</row>
    <row r="448" ht="12.75" customHeight="1">
      <c r="B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</row>
    <row r="449" ht="12.75" customHeight="1">
      <c r="B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</row>
    <row r="450" ht="12.75" customHeight="1">
      <c r="B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</row>
    <row r="451" ht="12.75" customHeight="1">
      <c r="B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</row>
    <row r="452" ht="12.75" customHeight="1">
      <c r="B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</row>
    <row r="453" ht="12.75" customHeight="1">
      <c r="B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</row>
    <row r="454" ht="12.75" customHeight="1">
      <c r="B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</row>
    <row r="455" ht="12.75" customHeight="1">
      <c r="B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</row>
    <row r="456" ht="12.75" customHeight="1">
      <c r="B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</row>
    <row r="457" ht="12.75" customHeight="1">
      <c r="B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</row>
    <row r="458" ht="12.75" customHeight="1">
      <c r="B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</row>
    <row r="459" ht="12.75" customHeight="1">
      <c r="B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</row>
    <row r="460" ht="12.75" customHeight="1">
      <c r="B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</row>
    <row r="461" ht="12.75" customHeight="1">
      <c r="B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</row>
    <row r="462" ht="12.75" customHeight="1">
      <c r="B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</row>
    <row r="463" ht="12.75" customHeight="1">
      <c r="B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</row>
    <row r="464" ht="12.75" customHeight="1">
      <c r="B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</row>
    <row r="465" ht="12.75" customHeight="1">
      <c r="B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</row>
    <row r="466" ht="12.75" customHeight="1">
      <c r="B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</row>
    <row r="467" ht="12.75" customHeight="1">
      <c r="B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</row>
    <row r="468" ht="12.75" customHeight="1">
      <c r="B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</row>
    <row r="469" ht="12.75" customHeight="1">
      <c r="B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</row>
    <row r="470" ht="12.75" customHeight="1">
      <c r="B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</row>
    <row r="471" ht="12.75" customHeight="1">
      <c r="B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</row>
    <row r="472" ht="12.75" customHeight="1">
      <c r="B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</row>
    <row r="473" ht="12.75" customHeight="1">
      <c r="B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</row>
    <row r="474" ht="12.75" customHeight="1">
      <c r="B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</row>
    <row r="475" ht="12.75" customHeight="1">
      <c r="B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</row>
    <row r="476" ht="12.75" customHeight="1">
      <c r="B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</row>
    <row r="477" ht="12.75" customHeight="1">
      <c r="B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</row>
    <row r="478" ht="12.75" customHeight="1">
      <c r="B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</row>
    <row r="479" ht="12.75" customHeight="1">
      <c r="B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</row>
    <row r="480" ht="12.75" customHeight="1">
      <c r="B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</row>
    <row r="481" ht="12.75" customHeight="1">
      <c r="B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</row>
    <row r="482" ht="12.75" customHeight="1">
      <c r="B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</row>
    <row r="483" ht="12.75" customHeight="1">
      <c r="B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</row>
    <row r="484" ht="12.75" customHeight="1">
      <c r="B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</row>
    <row r="485" ht="12.75" customHeight="1">
      <c r="B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</row>
    <row r="486" ht="12.75" customHeight="1">
      <c r="B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</row>
    <row r="487" ht="12.75" customHeight="1">
      <c r="B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</row>
    <row r="488" ht="12.75" customHeight="1">
      <c r="B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</row>
    <row r="489" ht="12.75" customHeight="1">
      <c r="B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</row>
    <row r="490" ht="12.75" customHeight="1">
      <c r="B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</row>
    <row r="491" ht="12.75" customHeight="1">
      <c r="B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</row>
    <row r="492" ht="12.75" customHeight="1">
      <c r="B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</row>
    <row r="493" ht="12.75" customHeight="1">
      <c r="B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</row>
    <row r="494" ht="12.75" customHeight="1">
      <c r="B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</row>
    <row r="495" ht="12.75" customHeight="1">
      <c r="B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</row>
    <row r="496" ht="12.75" customHeight="1">
      <c r="B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</row>
    <row r="497" ht="12.75" customHeight="1">
      <c r="B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</row>
    <row r="498" ht="12.75" customHeight="1">
      <c r="B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</row>
    <row r="499" ht="12.75" customHeight="1">
      <c r="B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</row>
    <row r="500" ht="12.75" customHeight="1">
      <c r="B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</row>
    <row r="501" ht="12.75" customHeight="1">
      <c r="B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</row>
    <row r="502" ht="12.75" customHeight="1">
      <c r="B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</row>
    <row r="503" ht="12.75" customHeight="1">
      <c r="B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</row>
    <row r="504" ht="12.75" customHeight="1">
      <c r="B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</row>
    <row r="505" ht="12.75" customHeight="1">
      <c r="B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</row>
    <row r="506" ht="12.75" customHeight="1">
      <c r="B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</row>
    <row r="507" ht="12.75" customHeight="1">
      <c r="B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</row>
    <row r="508" ht="12.75" customHeight="1">
      <c r="B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</row>
    <row r="509" ht="12.75" customHeight="1">
      <c r="B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</row>
    <row r="510" ht="12.75" customHeight="1">
      <c r="B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</row>
    <row r="511" ht="12.75" customHeight="1">
      <c r="B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</row>
    <row r="512" ht="12.75" customHeight="1">
      <c r="B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</row>
    <row r="513" ht="12.75" customHeight="1">
      <c r="B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</row>
    <row r="514" ht="12.75" customHeight="1">
      <c r="B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</row>
    <row r="515" ht="12.75" customHeight="1">
      <c r="B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</row>
    <row r="516" ht="12.75" customHeight="1">
      <c r="B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</row>
    <row r="517" ht="12.75" customHeight="1">
      <c r="B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</row>
    <row r="518" ht="12.75" customHeight="1">
      <c r="B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</row>
    <row r="519" ht="12.75" customHeight="1">
      <c r="B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</row>
    <row r="520" ht="12.75" customHeight="1">
      <c r="B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</row>
    <row r="521" ht="12.75" customHeight="1">
      <c r="B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</row>
    <row r="522" ht="12.75" customHeight="1">
      <c r="B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</row>
    <row r="523" ht="12.75" customHeight="1">
      <c r="B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</row>
    <row r="524" ht="12.75" customHeight="1">
      <c r="B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</row>
    <row r="525" ht="12.75" customHeight="1">
      <c r="B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</row>
    <row r="526" ht="12.75" customHeight="1">
      <c r="B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</row>
    <row r="527" ht="12.75" customHeight="1">
      <c r="B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</row>
    <row r="528" ht="12.75" customHeight="1">
      <c r="B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</row>
    <row r="529" ht="12.75" customHeight="1">
      <c r="B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</row>
    <row r="530" ht="12.75" customHeight="1">
      <c r="B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</row>
    <row r="531" ht="12.75" customHeight="1">
      <c r="B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</row>
    <row r="532" ht="12.75" customHeight="1">
      <c r="B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</row>
    <row r="533" ht="12.75" customHeight="1">
      <c r="B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</row>
    <row r="534" ht="12.75" customHeight="1">
      <c r="B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</row>
    <row r="535" ht="12.75" customHeight="1">
      <c r="B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</row>
    <row r="536" ht="12.75" customHeight="1">
      <c r="B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</row>
    <row r="537" ht="12.75" customHeight="1">
      <c r="B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</row>
    <row r="538" ht="12.75" customHeight="1">
      <c r="B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</row>
    <row r="539" ht="12.75" customHeight="1">
      <c r="B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</row>
    <row r="540" ht="12.75" customHeight="1">
      <c r="B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</row>
    <row r="541" ht="12.75" customHeight="1">
      <c r="B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</row>
    <row r="542" ht="12.75" customHeight="1">
      <c r="B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</row>
    <row r="543" ht="12.75" customHeight="1">
      <c r="B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</row>
    <row r="544" ht="12.75" customHeight="1">
      <c r="B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</row>
    <row r="545" ht="12.75" customHeight="1">
      <c r="B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</row>
    <row r="546" ht="12.75" customHeight="1">
      <c r="B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</row>
    <row r="547" ht="12.75" customHeight="1">
      <c r="B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</row>
    <row r="548" ht="12.75" customHeight="1">
      <c r="B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</row>
    <row r="549" ht="12.75" customHeight="1">
      <c r="B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</row>
    <row r="550" ht="12.75" customHeight="1">
      <c r="B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</row>
    <row r="551" ht="12.75" customHeight="1">
      <c r="B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</row>
    <row r="552" ht="12.75" customHeight="1">
      <c r="B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</row>
    <row r="553" ht="12.75" customHeight="1">
      <c r="B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</row>
    <row r="554" ht="12.75" customHeight="1">
      <c r="B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</row>
    <row r="555" ht="12.75" customHeight="1">
      <c r="B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</row>
    <row r="556" ht="12.75" customHeight="1">
      <c r="B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</row>
    <row r="557" ht="12.75" customHeight="1">
      <c r="B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</row>
    <row r="558" ht="12.75" customHeight="1">
      <c r="B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</row>
    <row r="559" ht="12.75" customHeight="1">
      <c r="B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</row>
    <row r="560" ht="12.75" customHeight="1">
      <c r="B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</row>
    <row r="561" ht="12.75" customHeight="1">
      <c r="B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</row>
    <row r="562" ht="12.75" customHeight="1">
      <c r="B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</row>
    <row r="563" ht="12.75" customHeight="1">
      <c r="B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</row>
    <row r="564" ht="12.75" customHeight="1">
      <c r="B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</row>
    <row r="565" ht="12.75" customHeight="1">
      <c r="B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</row>
    <row r="566" ht="12.75" customHeight="1">
      <c r="B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</row>
    <row r="567" ht="12.75" customHeight="1">
      <c r="B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</row>
    <row r="568" ht="12.75" customHeight="1">
      <c r="B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</row>
    <row r="569" ht="12.75" customHeight="1">
      <c r="B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</row>
    <row r="570" ht="12.75" customHeight="1">
      <c r="B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</row>
    <row r="571" ht="12.75" customHeight="1">
      <c r="B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</row>
    <row r="572" ht="12.75" customHeight="1">
      <c r="B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</row>
    <row r="573" ht="12.75" customHeight="1">
      <c r="B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</row>
    <row r="574" ht="12.75" customHeight="1">
      <c r="B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</row>
    <row r="575" ht="12.75" customHeight="1">
      <c r="B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</row>
    <row r="576" ht="12.75" customHeight="1">
      <c r="B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</row>
    <row r="577" ht="12.75" customHeight="1">
      <c r="B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</row>
    <row r="578" ht="12.75" customHeight="1">
      <c r="B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</row>
    <row r="579" ht="12.75" customHeight="1">
      <c r="B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</row>
    <row r="580" ht="12.75" customHeight="1">
      <c r="B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</row>
    <row r="581" ht="12.75" customHeight="1">
      <c r="B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</row>
    <row r="582" ht="12.75" customHeight="1">
      <c r="B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</row>
    <row r="583" ht="12.75" customHeight="1">
      <c r="B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</row>
    <row r="584" ht="12.75" customHeight="1">
      <c r="B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</row>
    <row r="585" ht="12.75" customHeight="1">
      <c r="B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</row>
    <row r="586" ht="12.75" customHeight="1">
      <c r="B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</row>
    <row r="587" ht="12.75" customHeight="1">
      <c r="B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</row>
    <row r="588" ht="12.75" customHeight="1">
      <c r="B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</row>
    <row r="589" ht="12.75" customHeight="1">
      <c r="B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</row>
    <row r="590" ht="12.75" customHeight="1">
      <c r="B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</row>
    <row r="591" ht="12.75" customHeight="1">
      <c r="B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</row>
    <row r="592" ht="12.75" customHeight="1">
      <c r="B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</row>
    <row r="593" ht="12.75" customHeight="1">
      <c r="B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</row>
    <row r="594" ht="12.75" customHeight="1">
      <c r="B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</row>
    <row r="595" ht="12.75" customHeight="1">
      <c r="B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</row>
    <row r="596" ht="12.75" customHeight="1">
      <c r="B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</row>
    <row r="597" ht="12.75" customHeight="1">
      <c r="B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</row>
    <row r="598" ht="12.75" customHeight="1">
      <c r="B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</row>
    <row r="599" ht="12.75" customHeight="1">
      <c r="B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</row>
    <row r="600" ht="12.75" customHeight="1">
      <c r="B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</row>
    <row r="601" ht="12.75" customHeight="1">
      <c r="B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</row>
    <row r="602" ht="12.75" customHeight="1">
      <c r="B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</row>
    <row r="603" ht="12.75" customHeight="1">
      <c r="B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</row>
    <row r="604" ht="12.75" customHeight="1">
      <c r="B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</row>
    <row r="605" ht="12.75" customHeight="1">
      <c r="B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</row>
    <row r="606" ht="12.75" customHeight="1">
      <c r="B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</row>
    <row r="607" ht="12.75" customHeight="1">
      <c r="B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</row>
    <row r="608" ht="12.75" customHeight="1">
      <c r="B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</row>
    <row r="609" ht="12.75" customHeight="1">
      <c r="B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</row>
    <row r="610" ht="12.75" customHeight="1">
      <c r="B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</row>
    <row r="611" ht="12.75" customHeight="1">
      <c r="B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</row>
    <row r="612" ht="12.75" customHeight="1">
      <c r="B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</row>
    <row r="613" ht="12.75" customHeight="1">
      <c r="B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</row>
    <row r="614" ht="12.75" customHeight="1">
      <c r="B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</row>
    <row r="615" ht="12.75" customHeight="1">
      <c r="B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</row>
    <row r="616" ht="12.75" customHeight="1">
      <c r="B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</row>
    <row r="617" ht="12.75" customHeight="1">
      <c r="B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</row>
    <row r="618" ht="12.75" customHeight="1">
      <c r="B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</row>
    <row r="619" ht="12.75" customHeight="1">
      <c r="B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</row>
    <row r="620" ht="12.75" customHeight="1">
      <c r="B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</row>
    <row r="621" ht="12.75" customHeight="1">
      <c r="B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</row>
    <row r="622" ht="12.75" customHeight="1">
      <c r="B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</row>
    <row r="623" ht="12.75" customHeight="1">
      <c r="B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</row>
    <row r="624" ht="12.75" customHeight="1">
      <c r="B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</row>
    <row r="625" ht="12.75" customHeight="1">
      <c r="B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</row>
    <row r="626" ht="12.75" customHeight="1">
      <c r="B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</row>
    <row r="627" ht="12.75" customHeight="1">
      <c r="B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</row>
    <row r="628" ht="12.75" customHeight="1">
      <c r="B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</row>
    <row r="629" ht="12.75" customHeight="1">
      <c r="B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</row>
    <row r="630" ht="12.75" customHeight="1">
      <c r="B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</row>
    <row r="631" ht="12.75" customHeight="1">
      <c r="B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</row>
    <row r="632" ht="12.75" customHeight="1">
      <c r="B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</row>
    <row r="633" ht="12.75" customHeight="1">
      <c r="B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</row>
    <row r="634" ht="12.75" customHeight="1">
      <c r="B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</row>
    <row r="635" ht="12.75" customHeight="1">
      <c r="B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</row>
    <row r="636" ht="12.75" customHeight="1">
      <c r="B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</row>
    <row r="637" ht="12.75" customHeight="1">
      <c r="B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</row>
    <row r="638" ht="12.75" customHeight="1">
      <c r="B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</row>
    <row r="639" ht="12.75" customHeight="1">
      <c r="B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</row>
    <row r="640" ht="12.75" customHeight="1">
      <c r="B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</row>
    <row r="641" ht="12.75" customHeight="1">
      <c r="B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</row>
    <row r="642" ht="12.75" customHeight="1">
      <c r="B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</row>
    <row r="643" ht="12.75" customHeight="1">
      <c r="B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</row>
    <row r="644" ht="12.75" customHeight="1">
      <c r="B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</row>
    <row r="645" ht="12.75" customHeight="1">
      <c r="B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</row>
    <row r="646" ht="12.75" customHeight="1">
      <c r="B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</row>
    <row r="647" ht="12.75" customHeight="1">
      <c r="B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</row>
    <row r="648" ht="12.75" customHeight="1">
      <c r="B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</row>
    <row r="649" ht="12.75" customHeight="1">
      <c r="B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</row>
    <row r="650" ht="12.75" customHeight="1">
      <c r="B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</row>
    <row r="651" ht="12.75" customHeight="1">
      <c r="B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</row>
    <row r="652" ht="12.75" customHeight="1">
      <c r="B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</row>
    <row r="653" ht="12.75" customHeight="1">
      <c r="B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</row>
    <row r="654" ht="12.75" customHeight="1">
      <c r="B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</row>
    <row r="655" ht="12.75" customHeight="1">
      <c r="B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</row>
    <row r="656" ht="12.75" customHeight="1">
      <c r="B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</row>
    <row r="657" ht="12.75" customHeight="1">
      <c r="B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</row>
    <row r="658" ht="12.75" customHeight="1">
      <c r="B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</row>
    <row r="659" ht="12.75" customHeight="1">
      <c r="B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</row>
    <row r="660" ht="12.75" customHeight="1">
      <c r="B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</row>
    <row r="661" ht="12.75" customHeight="1">
      <c r="B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</row>
    <row r="662" ht="12.75" customHeight="1">
      <c r="B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</row>
    <row r="663" ht="12.75" customHeight="1">
      <c r="B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</row>
    <row r="664" ht="12.75" customHeight="1">
      <c r="B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</row>
    <row r="665" ht="12.75" customHeight="1">
      <c r="B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</row>
    <row r="666" ht="12.75" customHeight="1">
      <c r="B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</row>
    <row r="667" ht="12.75" customHeight="1">
      <c r="B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</row>
    <row r="668" ht="12.75" customHeight="1">
      <c r="B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</row>
    <row r="669" ht="12.75" customHeight="1">
      <c r="B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</row>
    <row r="670" ht="12.75" customHeight="1">
      <c r="B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</row>
    <row r="671" ht="12.75" customHeight="1">
      <c r="B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</row>
    <row r="672" ht="12.75" customHeight="1">
      <c r="B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</row>
    <row r="673" ht="12.75" customHeight="1">
      <c r="B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</row>
    <row r="674" ht="12.75" customHeight="1">
      <c r="B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</row>
    <row r="675" ht="12.75" customHeight="1">
      <c r="B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</row>
    <row r="676" ht="12.75" customHeight="1">
      <c r="B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</row>
    <row r="677" ht="12.75" customHeight="1">
      <c r="B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</row>
    <row r="678" ht="12.75" customHeight="1">
      <c r="B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</row>
    <row r="679" ht="12.75" customHeight="1">
      <c r="B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</row>
    <row r="680" ht="12.75" customHeight="1">
      <c r="B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</row>
    <row r="681" ht="12.75" customHeight="1">
      <c r="B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</row>
    <row r="682" ht="12.75" customHeight="1">
      <c r="B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</row>
    <row r="683" ht="12.75" customHeight="1">
      <c r="B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</row>
    <row r="684" ht="12.75" customHeight="1">
      <c r="B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</row>
    <row r="685" ht="12.75" customHeight="1">
      <c r="B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</row>
    <row r="686" ht="12.75" customHeight="1">
      <c r="B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</row>
    <row r="687" ht="12.75" customHeight="1">
      <c r="B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</row>
    <row r="688" ht="12.75" customHeight="1">
      <c r="B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</row>
    <row r="689" ht="12.75" customHeight="1">
      <c r="B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</row>
    <row r="690" ht="12.75" customHeight="1">
      <c r="B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</row>
    <row r="691" ht="12.75" customHeight="1">
      <c r="B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</row>
    <row r="692" ht="12.75" customHeight="1">
      <c r="B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</row>
    <row r="693" ht="12.75" customHeight="1">
      <c r="B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</row>
    <row r="694" ht="12.75" customHeight="1">
      <c r="B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</row>
    <row r="695" ht="12.75" customHeight="1">
      <c r="B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</row>
    <row r="696" ht="12.75" customHeight="1">
      <c r="B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</row>
    <row r="697" ht="12.75" customHeight="1">
      <c r="B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</row>
    <row r="698" ht="12.75" customHeight="1">
      <c r="B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</row>
    <row r="699" ht="12.75" customHeight="1">
      <c r="B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</row>
    <row r="700" ht="12.75" customHeight="1">
      <c r="B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</row>
    <row r="701" ht="12.75" customHeight="1">
      <c r="B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</row>
    <row r="702" ht="12.75" customHeight="1">
      <c r="B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</row>
    <row r="703" ht="12.75" customHeight="1">
      <c r="B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</row>
    <row r="704" ht="12.75" customHeight="1">
      <c r="B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</row>
    <row r="705" ht="12.75" customHeight="1">
      <c r="B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</row>
    <row r="706" ht="12.75" customHeight="1">
      <c r="B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</row>
    <row r="707" ht="12.75" customHeight="1">
      <c r="B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</row>
    <row r="708" ht="12.75" customHeight="1">
      <c r="B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</row>
    <row r="709" ht="12.75" customHeight="1">
      <c r="B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</row>
    <row r="710" ht="12.75" customHeight="1">
      <c r="B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</row>
    <row r="711" ht="12.75" customHeight="1">
      <c r="B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</row>
    <row r="712" ht="12.75" customHeight="1">
      <c r="B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</row>
    <row r="713" ht="12.75" customHeight="1">
      <c r="B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</row>
    <row r="714" ht="12.75" customHeight="1">
      <c r="B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</row>
    <row r="715" ht="12.75" customHeight="1">
      <c r="B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</row>
    <row r="716" ht="12.75" customHeight="1">
      <c r="B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</row>
    <row r="717" ht="12.75" customHeight="1">
      <c r="B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</row>
    <row r="718" ht="12.75" customHeight="1">
      <c r="B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</row>
    <row r="719" ht="12.75" customHeight="1">
      <c r="B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</row>
    <row r="720" ht="12.75" customHeight="1">
      <c r="B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</row>
    <row r="721" ht="12.75" customHeight="1">
      <c r="B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</row>
    <row r="722" ht="12.75" customHeight="1">
      <c r="B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</row>
    <row r="723" ht="12.75" customHeight="1">
      <c r="B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</row>
    <row r="724" ht="12.75" customHeight="1">
      <c r="B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</row>
    <row r="725" ht="12.75" customHeight="1">
      <c r="B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</row>
    <row r="726" ht="12.75" customHeight="1">
      <c r="B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</row>
    <row r="727" ht="12.75" customHeight="1">
      <c r="B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</row>
    <row r="728" ht="12.75" customHeight="1">
      <c r="B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</row>
    <row r="729" ht="12.75" customHeight="1">
      <c r="B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</row>
    <row r="730" ht="12.75" customHeight="1">
      <c r="B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</row>
    <row r="731" ht="12.75" customHeight="1">
      <c r="B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</row>
    <row r="732" ht="12.75" customHeight="1">
      <c r="B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</row>
    <row r="733" ht="12.75" customHeight="1">
      <c r="B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</row>
    <row r="734" ht="12.75" customHeight="1">
      <c r="B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</row>
    <row r="735" ht="12.75" customHeight="1">
      <c r="B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</row>
    <row r="736" ht="12.75" customHeight="1">
      <c r="B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</row>
    <row r="737" ht="12.75" customHeight="1">
      <c r="B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</row>
    <row r="738" ht="12.75" customHeight="1">
      <c r="B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</row>
    <row r="739" ht="12.75" customHeight="1">
      <c r="B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</row>
    <row r="740" ht="12.75" customHeight="1">
      <c r="B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</row>
    <row r="741" ht="12.75" customHeight="1">
      <c r="B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</row>
    <row r="742" ht="12.75" customHeight="1">
      <c r="B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</row>
    <row r="743" ht="12.75" customHeight="1">
      <c r="B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</row>
    <row r="744" ht="12.75" customHeight="1">
      <c r="B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</row>
    <row r="745" ht="12.75" customHeight="1">
      <c r="B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</row>
    <row r="746" ht="12.75" customHeight="1">
      <c r="B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</row>
    <row r="747" ht="12.75" customHeight="1">
      <c r="B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</row>
    <row r="748" ht="12.75" customHeight="1">
      <c r="B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</row>
    <row r="749" ht="12.75" customHeight="1">
      <c r="B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</row>
    <row r="750" ht="12.75" customHeight="1">
      <c r="B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</row>
    <row r="751" ht="12.75" customHeight="1">
      <c r="B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</row>
    <row r="752" ht="12.75" customHeight="1">
      <c r="B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</row>
    <row r="753" ht="12.75" customHeight="1">
      <c r="B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</row>
    <row r="754" ht="12.75" customHeight="1">
      <c r="B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</row>
    <row r="755" ht="12.75" customHeight="1">
      <c r="B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</row>
    <row r="756" ht="12.75" customHeight="1">
      <c r="B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</row>
    <row r="757" ht="12.75" customHeight="1">
      <c r="B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</row>
    <row r="758" ht="12.75" customHeight="1">
      <c r="B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</row>
    <row r="759" ht="12.75" customHeight="1">
      <c r="B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</row>
    <row r="760" ht="12.75" customHeight="1">
      <c r="B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</row>
    <row r="761" ht="12.75" customHeight="1">
      <c r="B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</row>
    <row r="762" ht="12.75" customHeight="1">
      <c r="B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</row>
    <row r="763" ht="12.75" customHeight="1">
      <c r="B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</row>
    <row r="764" ht="12.75" customHeight="1">
      <c r="B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</row>
    <row r="765" ht="12.75" customHeight="1">
      <c r="B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</row>
    <row r="766" ht="12.75" customHeight="1">
      <c r="B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</row>
    <row r="767" ht="12.75" customHeight="1">
      <c r="B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</row>
    <row r="768" ht="12.75" customHeight="1">
      <c r="B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</row>
    <row r="769" ht="12.75" customHeight="1">
      <c r="B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</row>
    <row r="770" ht="12.75" customHeight="1">
      <c r="B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</row>
    <row r="771" ht="12.75" customHeight="1">
      <c r="B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</row>
    <row r="772" ht="12.75" customHeight="1">
      <c r="B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</row>
    <row r="773" ht="12.75" customHeight="1">
      <c r="B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</row>
    <row r="774" ht="12.75" customHeight="1">
      <c r="B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</row>
    <row r="775" ht="12.75" customHeight="1">
      <c r="B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</row>
    <row r="776" ht="12.75" customHeight="1">
      <c r="B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</row>
    <row r="777" ht="12.75" customHeight="1">
      <c r="B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</row>
    <row r="778" ht="12.75" customHeight="1">
      <c r="B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</row>
    <row r="779" ht="12.75" customHeight="1">
      <c r="B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</row>
    <row r="780" ht="12.75" customHeight="1">
      <c r="B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</row>
    <row r="781" ht="12.75" customHeight="1">
      <c r="B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</row>
    <row r="782" ht="12.75" customHeight="1">
      <c r="B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</row>
    <row r="783" ht="12.75" customHeight="1">
      <c r="B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</row>
    <row r="784" ht="12.75" customHeight="1">
      <c r="B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</row>
    <row r="785" ht="12.75" customHeight="1">
      <c r="B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</row>
    <row r="786" ht="12.75" customHeight="1">
      <c r="B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</row>
    <row r="787" ht="12.75" customHeight="1">
      <c r="B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</row>
    <row r="788" ht="12.75" customHeight="1">
      <c r="B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</row>
    <row r="789" ht="12.75" customHeight="1">
      <c r="B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</row>
    <row r="790" ht="12.75" customHeight="1">
      <c r="B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</row>
    <row r="791" ht="12.75" customHeight="1">
      <c r="B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</row>
    <row r="792" ht="12.75" customHeight="1">
      <c r="B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</row>
    <row r="793" ht="12.75" customHeight="1">
      <c r="B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</row>
    <row r="794" ht="12.75" customHeight="1">
      <c r="B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</row>
    <row r="795" ht="12.75" customHeight="1">
      <c r="B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</row>
    <row r="796" ht="12.75" customHeight="1">
      <c r="B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</row>
    <row r="797" ht="12.75" customHeight="1">
      <c r="B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</row>
    <row r="798" ht="12.75" customHeight="1">
      <c r="B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</row>
    <row r="799" ht="12.75" customHeight="1">
      <c r="B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</row>
    <row r="800" ht="12.75" customHeight="1">
      <c r="B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</row>
    <row r="801" ht="12.75" customHeight="1">
      <c r="B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</row>
    <row r="802" ht="12.75" customHeight="1">
      <c r="B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</row>
    <row r="803" ht="12.75" customHeight="1">
      <c r="B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</row>
    <row r="804" ht="12.75" customHeight="1">
      <c r="B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</row>
    <row r="805" ht="12.75" customHeight="1">
      <c r="B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</row>
    <row r="806" ht="12.75" customHeight="1">
      <c r="B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</row>
    <row r="807" ht="12.75" customHeight="1">
      <c r="B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</row>
    <row r="808" ht="12.75" customHeight="1">
      <c r="B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</row>
    <row r="809" ht="12.75" customHeight="1">
      <c r="B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</row>
    <row r="810" ht="12.75" customHeight="1">
      <c r="B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</row>
    <row r="811" ht="12.75" customHeight="1">
      <c r="B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</row>
    <row r="812" ht="12.75" customHeight="1">
      <c r="B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</row>
    <row r="813" ht="12.75" customHeight="1">
      <c r="B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</row>
    <row r="814" ht="12.75" customHeight="1">
      <c r="B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</row>
    <row r="815" ht="12.75" customHeight="1">
      <c r="B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</row>
    <row r="816" ht="12.75" customHeight="1">
      <c r="B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</row>
    <row r="817" ht="12.75" customHeight="1">
      <c r="B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</row>
    <row r="818" ht="12.75" customHeight="1">
      <c r="B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</row>
    <row r="819" ht="12.75" customHeight="1">
      <c r="B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</row>
    <row r="820" ht="12.75" customHeight="1">
      <c r="B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</row>
    <row r="821" ht="12.75" customHeight="1">
      <c r="B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</row>
    <row r="822" ht="12.75" customHeight="1">
      <c r="B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</row>
    <row r="823" ht="12.75" customHeight="1">
      <c r="B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</row>
    <row r="824" ht="12.75" customHeight="1">
      <c r="B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</row>
    <row r="825" ht="12.75" customHeight="1">
      <c r="B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</row>
    <row r="826" ht="12.75" customHeight="1">
      <c r="B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</row>
    <row r="827" ht="12.75" customHeight="1">
      <c r="B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</row>
    <row r="828" ht="12.75" customHeight="1">
      <c r="B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</row>
    <row r="829" ht="12.75" customHeight="1">
      <c r="B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</row>
    <row r="830" ht="12.75" customHeight="1">
      <c r="B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</row>
    <row r="831" ht="12.75" customHeight="1">
      <c r="B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</row>
    <row r="832" ht="12.75" customHeight="1">
      <c r="B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</row>
    <row r="833" ht="12.75" customHeight="1">
      <c r="B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</row>
    <row r="834" ht="12.75" customHeight="1">
      <c r="B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</row>
    <row r="835" ht="12.75" customHeight="1">
      <c r="B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</row>
    <row r="836" ht="12.75" customHeight="1">
      <c r="B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</row>
    <row r="837" ht="12.75" customHeight="1">
      <c r="B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</row>
    <row r="838" ht="12.75" customHeight="1">
      <c r="B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</row>
    <row r="839" ht="12.75" customHeight="1">
      <c r="B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</row>
    <row r="840" ht="12.75" customHeight="1">
      <c r="B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</row>
    <row r="841" ht="12.75" customHeight="1">
      <c r="B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</row>
    <row r="842" ht="12.75" customHeight="1">
      <c r="B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</row>
    <row r="843" ht="12.75" customHeight="1">
      <c r="B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</row>
    <row r="844" ht="12.75" customHeight="1">
      <c r="B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</row>
    <row r="845" ht="12.75" customHeight="1">
      <c r="B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</row>
    <row r="846" ht="12.75" customHeight="1">
      <c r="B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</row>
    <row r="847" ht="12.75" customHeight="1">
      <c r="B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</row>
    <row r="848" ht="12.75" customHeight="1">
      <c r="B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</row>
    <row r="849" ht="12.75" customHeight="1">
      <c r="B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</row>
    <row r="850" ht="12.75" customHeight="1">
      <c r="B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</row>
    <row r="851" ht="12.75" customHeight="1">
      <c r="B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</row>
    <row r="852" ht="12.75" customHeight="1">
      <c r="B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</row>
    <row r="853" ht="12.75" customHeight="1">
      <c r="B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</row>
    <row r="854" ht="12.75" customHeight="1">
      <c r="B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</row>
    <row r="855" ht="12.75" customHeight="1">
      <c r="B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</row>
    <row r="856" ht="12.75" customHeight="1">
      <c r="B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</row>
    <row r="857" ht="12.75" customHeight="1">
      <c r="B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</row>
    <row r="858" ht="12.75" customHeight="1">
      <c r="B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</row>
    <row r="859" ht="12.75" customHeight="1">
      <c r="B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</row>
    <row r="860" ht="12.75" customHeight="1">
      <c r="B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</row>
    <row r="861" ht="12.75" customHeight="1">
      <c r="B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</row>
    <row r="862" ht="12.75" customHeight="1">
      <c r="B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</row>
    <row r="863" ht="12.75" customHeight="1">
      <c r="B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</row>
    <row r="864" ht="12.75" customHeight="1">
      <c r="B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</row>
    <row r="865" ht="12.75" customHeight="1">
      <c r="B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</row>
    <row r="866" ht="12.75" customHeight="1">
      <c r="B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</row>
    <row r="867" ht="12.75" customHeight="1">
      <c r="B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</row>
    <row r="868" ht="12.75" customHeight="1">
      <c r="B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</row>
    <row r="869" ht="12.75" customHeight="1">
      <c r="B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</row>
    <row r="870" ht="12.75" customHeight="1">
      <c r="B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</row>
    <row r="871" ht="12.75" customHeight="1">
      <c r="B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</row>
    <row r="872" ht="12.75" customHeight="1">
      <c r="B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</row>
    <row r="873" ht="12.75" customHeight="1">
      <c r="B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</row>
    <row r="874" ht="12.75" customHeight="1">
      <c r="B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</row>
    <row r="875" ht="12.75" customHeight="1">
      <c r="B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</row>
    <row r="876" ht="12.75" customHeight="1">
      <c r="B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</row>
    <row r="877" ht="12.75" customHeight="1">
      <c r="B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</row>
    <row r="878" ht="12.75" customHeight="1">
      <c r="B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</row>
    <row r="879" ht="12.75" customHeight="1">
      <c r="B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</row>
    <row r="880" ht="12.75" customHeight="1">
      <c r="B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</row>
    <row r="881" ht="12.75" customHeight="1">
      <c r="B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</row>
    <row r="882" ht="12.75" customHeight="1">
      <c r="B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</row>
    <row r="883" ht="12.75" customHeight="1">
      <c r="B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</row>
    <row r="884" ht="12.75" customHeight="1">
      <c r="B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</row>
    <row r="885" ht="12.75" customHeight="1">
      <c r="B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</row>
    <row r="886" ht="12.75" customHeight="1">
      <c r="B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</row>
    <row r="887" ht="12.75" customHeight="1">
      <c r="B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</row>
    <row r="888" ht="12.75" customHeight="1">
      <c r="B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</row>
    <row r="889" ht="12.75" customHeight="1">
      <c r="B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</row>
    <row r="890" ht="12.75" customHeight="1">
      <c r="B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</row>
    <row r="891" ht="12.75" customHeight="1">
      <c r="B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</row>
    <row r="892" ht="12.75" customHeight="1">
      <c r="B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</row>
    <row r="893" ht="12.75" customHeight="1">
      <c r="B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</row>
    <row r="894" ht="12.75" customHeight="1">
      <c r="B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</row>
    <row r="895" ht="12.75" customHeight="1">
      <c r="B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</row>
    <row r="896" ht="12.75" customHeight="1">
      <c r="B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</row>
    <row r="897" ht="12.75" customHeight="1">
      <c r="B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</row>
    <row r="898" ht="12.75" customHeight="1">
      <c r="B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</row>
    <row r="899" ht="12.75" customHeight="1">
      <c r="B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</row>
    <row r="900" ht="12.75" customHeight="1">
      <c r="B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</row>
    <row r="901" ht="12.75" customHeight="1">
      <c r="B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</row>
    <row r="902" ht="12.75" customHeight="1">
      <c r="B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</row>
    <row r="903" ht="12.75" customHeight="1">
      <c r="B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</row>
    <row r="904" ht="12.75" customHeight="1">
      <c r="B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</row>
    <row r="905" ht="12.75" customHeight="1">
      <c r="B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</row>
    <row r="906" ht="12.75" customHeight="1">
      <c r="B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</row>
    <row r="907" ht="12.75" customHeight="1">
      <c r="B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</row>
    <row r="908" ht="12.75" customHeight="1">
      <c r="B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</row>
    <row r="909" ht="12.75" customHeight="1">
      <c r="B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</row>
    <row r="910" ht="12.75" customHeight="1">
      <c r="B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</row>
    <row r="911" ht="12.75" customHeight="1">
      <c r="B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</row>
    <row r="912" ht="12.75" customHeight="1">
      <c r="B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</row>
    <row r="913" ht="12.75" customHeight="1">
      <c r="B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</row>
    <row r="914" ht="12.75" customHeight="1">
      <c r="B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</row>
    <row r="915" ht="12.75" customHeight="1">
      <c r="B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</row>
    <row r="916" ht="12.75" customHeight="1">
      <c r="B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</row>
    <row r="917" ht="12.75" customHeight="1">
      <c r="B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</row>
    <row r="918" ht="12.75" customHeight="1">
      <c r="B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</row>
    <row r="919" ht="12.75" customHeight="1">
      <c r="B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</row>
    <row r="920" ht="12.75" customHeight="1">
      <c r="B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</row>
    <row r="921" ht="12.75" customHeight="1">
      <c r="B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</row>
    <row r="922" ht="12.75" customHeight="1">
      <c r="B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</row>
    <row r="923" ht="12.75" customHeight="1">
      <c r="B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</row>
    <row r="924" ht="12.75" customHeight="1">
      <c r="B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</row>
    <row r="925" ht="12.75" customHeight="1">
      <c r="B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</row>
    <row r="926" ht="12.75" customHeight="1">
      <c r="B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</row>
    <row r="927" ht="12.75" customHeight="1">
      <c r="B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</row>
    <row r="928" ht="12.75" customHeight="1">
      <c r="B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</row>
    <row r="929" ht="12.75" customHeight="1">
      <c r="B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</row>
    <row r="930" ht="12.75" customHeight="1">
      <c r="B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</row>
    <row r="931" ht="12.75" customHeight="1">
      <c r="B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</row>
    <row r="932" ht="12.75" customHeight="1">
      <c r="B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</row>
    <row r="933" ht="12.75" customHeight="1">
      <c r="B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</row>
    <row r="934" ht="12.75" customHeight="1">
      <c r="B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</row>
    <row r="935" ht="12.75" customHeight="1">
      <c r="B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</row>
    <row r="936" ht="12.75" customHeight="1">
      <c r="B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</row>
    <row r="937" ht="12.75" customHeight="1">
      <c r="B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</row>
    <row r="938" ht="12.75" customHeight="1">
      <c r="B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</row>
    <row r="939" ht="12.75" customHeight="1">
      <c r="B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</row>
    <row r="940" ht="12.75" customHeight="1">
      <c r="B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</row>
    <row r="941" ht="12.75" customHeight="1">
      <c r="B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</row>
    <row r="942" ht="12.75" customHeight="1">
      <c r="B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</row>
    <row r="943" ht="12.75" customHeight="1">
      <c r="B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</row>
    <row r="944" ht="12.75" customHeight="1">
      <c r="B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</row>
    <row r="945" ht="12.75" customHeight="1">
      <c r="B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</row>
    <row r="946" ht="12.75" customHeight="1">
      <c r="B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</row>
    <row r="947" ht="12.75" customHeight="1">
      <c r="B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</row>
    <row r="948" ht="12.75" customHeight="1">
      <c r="B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</row>
    <row r="949" ht="12.75" customHeight="1">
      <c r="B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</row>
    <row r="950" ht="12.75" customHeight="1">
      <c r="B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</row>
    <row r="951" ht="12.75" customHeight="1">
      <c r="B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</row>
    <row r="952" ht="12.75" customHeight="1">
      <c r="B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</row>
    <row r="953" ht="12.75" customHeight="1">
      <c r="B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</row>
    <row r="954" ht="12.75" customHeight="1">
      <c r="B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</row>
    <row r="955" ht="12.75" customHeight="1">
      <c r="B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</row>
    <row r="956" ht="12.75" customHeight="1">
      <c r="B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</row>
    <row r="957" ht="12.75" customHeight="1">
      <c r="B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</row>
    <row r="958" ht="12.75" customHeight="1">
      <c r="B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</row>
    <row r="959" ht="12.75" customHeight="1">
      <c r="B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</row>
    <row r="960" ht="12.75" customHeight="1">
      <c r="B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</row>
    <row r="961" ht="12.75" customHeight="1">
      <c r="B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</row>
    <row r="962" ht="12.75" customHeight="1">
      <c r="B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</row>
    <row r="963" ht="12.75" customHeight="1">
      <c r="B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</row>
    <row r="964" ht="12.75" customHeight="1">
      <c r="B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</row>
    <row r="965" ht="12.75" customHeight="1">
      <c r="B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</row>
    <row r="966" ht="12.75" customHeight="1">
      <c r="B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</row>
    <row r="967" ht="12.75" customHeight="1">
      <c r="B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</row>
    <row r="968" ht="12.75" customHeight="1">
      <c r="B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</row>
    <row r="969" ht="12.75" customHeight="1">
      <c r="B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</row>
    <row r="970" ht="12.75" customHeight="1">
      <c r="B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</row>
    <row r="971" ht="12.75" customHeight="1">
      <c r="B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</row>
    <row r="972" ht="12.75" customHeight="1">
      <c r="B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</row>
    <row r="973" ht="12.75" customHeight="1">
      <c r="B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</row>
    <row r="974" ht="12.75" customHeight="1">
      <c r="B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</row>
    <row r="975" ht="12.75" customHeight="1">
      <c r="B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</row>
    <row r="976" ht="12.75" customHeight="1">
      <c r="B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</row>
    <row r="977" ht="12.75" customHeight="1">
      <c r="B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</row>
    <row r="978" ht="12.75" customHeight="1">
      <c r="B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</row>
    <row r="979" ht="12.75" customHeight="1">
      <c r="B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</row>
    <row r="980" ht="12.75" customHeight="1">
      <c r="B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</row>
    <row r="981" ht="12.75" customHeight="1">
      <c r="B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</row>
    <row r="982" ht="12.75" customHeight="1">
      <c r="B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</row>
    <row r="983" ht="12.75" customHeight="1">
      <c r="B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</row>
    <row r="984" ht="12.75" customHeight="1">
      <c r="B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</row>
    <row r="985" ht="12.75" customHeight="1">
      <c r="B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</row>
    <row r="986" ht="12.75" customHeight="1">
      <c r="B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</row>
    <row r="987" ht="12.75" customHeight="1">
      <c r="B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</row>
    <row r="988" ht="12.75" customHeight="1">
      <c r="B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</row>
    <row r="989" ht="12.75" customHeight="1">
      <c r="B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</row>
    <row r="990" ht="12.75" customHeight="1">
      <c r="B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</row>
    <row r="991" ht="12.75" customHeight="1">
      <c r="B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</row>
    <row r="992" ht="12.75" customHeight="1">
      <c r="B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</row>
    <row r="993" ht="12.75" customHeight="1">
      <c r="B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</row>
    <row r="994" ht="12.75" customHeight="1">
      <c r="B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</row>
    <row r="995" ht="12.75" customHeight="1">
      <c r="B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</row>
    <row r="996" ht="12.75" customHeight="1">
      <c r="B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</row>
    <row r="997" ht="12.75" customHeight="1">
      <c r="B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</row>
    <row r="998" ht="12.75" customHeight="1">
      <c r="B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</row>
    <row r="999" ht="12.75" customHeight="1">
      <c r="B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</row>
    <row r="1000" ht="12.75" customHeight="1">
      <c r="B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</row>
  </sheetData>
  <conditionalFormatting sqref="A19:AD58 J15:AD18">
    <cfRule type="expression" dxfId="6" priority="1">
      <formula>$D19="Done"</formula>
    </cfRule>
  </conditionalFormatting>
  <conditionalFormatting sqref="A19:AD58 J15:AD18">
    <cfRule type="expression" dxfId="5" priority="2">
      <formula>$D19="Ongoing"</formula>
    </cfRule>
  </conditionalFormatting>
  <conditionalFormatting sqref="A15:I18">
    <cfRule type="expression" dxfId="6" priority="3">
      <formula>$D15="Done"</formula>
    </cfRule>
  </conditionalFormatting>
  <conditionalFormatting sqref="A15:I18">
    <cfRule type="expression" dxfId="5" priority="4">
      <formula>$D15="Ongoing"</formula>
    </cfRule>
  </conditionalFormatting>
  <dataValidations>
    <dataValidation type="list" allowBlank="1" showInputMessage="1" prompt=" - " sqref="D3:D8 D15:D64">
      <formula1>"Planned,Ongoing,Done"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4.0" topLeftCell="A15" activePane="bottomLeft" state="frozen"/>
      <selection activeCell="B16" sqref="B16" pane="bottomLeft"/>
    </sheetView>
  </sheetViews>
  <sheetFormatPr customHeight="1" defaultColWidth="14.43" defaultRowHeight="15.0"/>
  <cols>
    <col customWidth="1" min="1" max="1" width="38.43"/>
    <col customWidth="1" min="2" max="2" width="8.57"/>
    <col customWidth="1" min="3" max="3" width="13.71"/>
    <col customWidth="1" min="4" max="4" width="10.86"/>
    <col customWidth="1" min="5" max="5" width="6.57"/>
    <col customWidth="1" min="6" max="30" width="4.43"/>
    <col customWidth="1" min="31" max="31" width="8.0"/>
  </cols>
  <sheetData>
    <row r="1" ht="17.25" customHeight="1">
      <c r="A1" s="85">
        <v>3.0</v>
      </c>
      <c r="B1" s="75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</row>
    <row r="2" ht="12.75" customHeight="1">
      <c r="B2" s="3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</row>
    <row r="3" ht="12.75" customHeight="1">
      <c r="B3" s="3"/>
      <c r="D3" s="6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ht="12.75" customHeight="1">
      <c r="B4" s="3"/>
      <c r="D4" s="6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ht="12.75" customHeight="1">
      <c r="B5" s="3"/>
      <c r="D5" s="6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ht="12.75" customHeight="1">
      <c r="B6" s="3"/>
      <c r="D6" s="62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ht="12.75" customHeight="1">
      <c r="B7" s="3"/>
      <c r="D7" s="62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</row>
    <row r="8" ht="12.75" customHeight="1">
      <c r="B8" s="3"/>
      <c r="D8" s="6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ht="12.75" customHeight="1">
      <c r="A9" s="76" t="s">
        <v>29</v>
      </c>
      <c r="B9" s="3">
        <v>5.0</v>
      </c>
      <c r="C9" s="76"/>
      <c r="D9" s="77"/>
      <c r="E9" s="76" t="s">
        <v>31</v>
      </c>
      <c r="F9" s="76" t="s">
        <v>32</v>
      </c>
      <c r="G9" s="76"/>
      <c r="H9" s="76"/>
      <c r="I9" s="76"/>
      <c r="J9" s="76"/>
      <c r="K9" s="76"/>
      <c r="L9" s="76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ht="12.75" customHeight="1">
      <c r="A10" s="76" t="s">
        <v>36</v>
      </c>
      <c r="B10" s="3">
        <v>5.0</v>
      </c>
      <c r="C10" s="78" t="s">
        <v>37</v>
      </c>
      <c r="D10" s="76" t="s">
        <v>41</v>
      </c>
      <c r="E10" s="79">
        <v>8.0</v>
      </c>
      <c r="F10" s="79">
        <v>8.0</v>
      </c>
      <c r="G10" s="80">
        <f>IF(AND(SUM(OFFSET(G14,1,0,'Sp3'!TaskRows,1))=0),"",SUM(OFFSET(G14,1,0,'Sp3'!TaskRows,1)))</f>
        <v>7</v>
      </c>
      <c r="H10" s="80">
        <f>IF(AND(SUM(OFFSET(H14,1,0,'Sp3'!TaskRows,1))=0),"",SUM(OFFSET(H14,1,0,'Sp3'!TaskRows,1)))</f>
        <v>7</v>
      </c>
      <c r="I10" s="80">
        <f>IF(AND(SUM(OFFSET(I14,1,0,'Sp3'!TaskRows,1))=0),"",SUM(OFFSET(I14,1,0,'Sp3'!TaskRows,1)))</f>
        <v>7</v>
      </c>
      <c r="J10" s="80">
        <f>IF(AND(SUM(OFFSET(J14,1,0,'Sp3'!TaskRows,1))=0),"",SUM(OFFSET(J14,1,0,'Sp3'!TaskRows,1)))</f>
        <v>5</v>
      </c>
      <c r="K10" s="80">
        <f>IF(AND(SUM(OFFSET(K14,1,0,'Sp3'!TaskRows,1))=0),"",SUM(OFFSET(K14,1,0,'Sp3'!TaskRows,1)))</f>
        <v>3</v>
      </c>
      <c r="L10" s="80">
        <f>IF(AND(SUM(OFFSET(L14,1,0,'Sp3'!TaskRows,1))=0),"",SUM(OFFSET(L14,1,0,'Sp3'!TaskRows,1)))</f>
        <v>3</v>
      </c>
      <c r="M10" s="80">
        <f>IF(AND(SUM(OFFSET(M14,1,0,'Sp3'!TaskRows,1))=0),"",SUM(OFFSET(M14,1,0,'Sp3'!TaskRows,1)))</f>
        <v>3</v>
      </c>
      <c r="N10" s="80">
        <f>IF(AND(SUM(OFFSET(N14,1,0,'Sp3'!TaskRows,1))=0),"",SUM(OFFSET(N14,1,0,'Sp3'!TaskRows,1)))</f>
        <v>3</v>
      </c>
      <c r="O10" s="80">
        <f>IF(AND(SUM(OFFSET(O14,1,0,'Sp3'!TaskRows,1))=0),"",SUM(OFFSET(O14,1,0,'Sp3'!TaskRows,1)))</f>
        <v>3</v>
      </c>
      <c r="P10" s="80">
        <f>IF(AND(SUM(OFFSET(P14,1,0,'Sp3'!TaskRows,1))=0),"",SUM(OFFSET(P14,1,0,'Sp3'!TaskRows,1)))</f>
        <v>3</v>
      </c>
      <c r="Q10" s="80">
        <f>IF(AND(SUM(OFFSET(Q14,1,0,'Sp3'!TaskRows,1))=0),"",SUM(OFFSET(Q14,1,0,'Sp3'!TaskRows,1)))</f>
        <v>2</v>
      </c>
      <c r="R10" s="80" t="str">
        <f>IF(AND(SUM(OFFSET(R14,1,0,'Sp3'!TaskRows,1))=0),"",SUM(OFFSET(R14,1,0,'Sp3'!TaskRows,1)))</f>
        <v/>
      </c>
      <c r="S10" s="80" t="str">
        <f>IF(AND(SUM(OFFSET(S14,1,0,'Sp3'!TaskRows,1))=0),"",SUM(OFFSET(S14,1,0,'Sp3'!TaskRows,1)))</f>
        <v/>
      </c>
      <c r="T10" s="80" t="str">
        <f>IF(AND(SUM(OFFSET(T14,1,0,'Sp3'!TaskRows,1))=0),"",SUM(OFFSET(T14,1,0,'Sp3'!TaskRows,1)))</f>
        <v/>
      </c>
      <c r="U10" s="80" t="str">
        <f>IF(AND(SUM(OFFSET(U14,1,0,'Sp3'!TaskRows,1))=0),"",SUM(OFFSET(U14,1,0,'Sp3'!TaskRows,1)))</f>
        <v/>
      </c>
      <c r="V10" s="80" t="str">
        <f>IF(AND(SUM(OFFSET(V14,1,0,'Sp3'!TaskRows,1))=0),"",SUM(OFFSET(V14,1,0,'Sp3'!TaskRows,1)))</f>
        <v/>
      </c>
      <c r="W10" s="80" t="str">
        <f>IF(AND(SUM(OFFSET(W14,1,0,'Sp3'!TaskRows,1))=0),"",SUM(OFFSET(W14,1,0,'Sp3'!TaskRows,1)))</f>
        <v/>
      </c>
      <c r="X10" s="80" t="str">
        <f>IF(AND(SUM(OFFSET(X14,1,0,'Sp3'!TaskRows,1))=0),"",SUM(OFFSET(X14,1,0,'Sp3'!TaskRows,1)))</f>
        <v/>
      </c>
      <c r="Y10" s="80" t="str">
        <f>IF(AND(SUM(OFFSET(Y14,1,0,'Sp3'!TaskRows,1))=0),"",SUM(OFFSET(Y14,1,0,'Sp3'!TaskRows,1)))</f>
        <v/>
      </c>
      <c r="Z10" s="80" t="str">
        <f>IF(AND(SUM(OFFSET(Z14,1,0,'Sp3'!TaskRows,1))=0),"",SUM(OFFSET(Z14,1,0,'Sp3'!TaskRows,1)))</f>
        <v/>
      </c>
      <c r="AA10" s="80" t="str">
        <f>IF(AND(SUM(OFFSET(AA14,1,0,'Sp3'!TaskRows,1))=0),"",SUM(OFFSET(AA14,1,0,'Sp3'!TaskRows,1)))</f>
        <v/>
      </c>
      <c r="AB10" s="80" t="str">
        <f>IF(AND(SUM(OFFSET(AB14,1,0,'Sp3'!TaskRows,1))=0),"",SUM(OFFSET(AB14,1,0,'Sp3'!TaskRows,1)))</f>
        <v/>
      </c>
      <c r="AC10" s="80" t="str">
        <f>IF(AND(SUM(OFFSET(AC14,1,0,'Sp3'!TaskRows,1))=0),"",SUM(OFFSET(AC14,1,0,'Sp3'!TaskRows,1)))</f>
        <v/>
      </c>
      <c r="AD10" s="80" t="str">
        <f>IF(AND(SUM(OFFSET(AD14,1,0,'Sp3'!TaskRows,1))=0),"",SUM(OFFSET(AD14,1,0,'Sp3'!TaskRows,1)))</f>
        <v/>
      </c>
    </row>
    <row r="11" ht="12.75" hidden="1" customHeight="1">
      <c r="A11" s="62" t="s">
        <v>55</v>
      </c>
      <c r="B11" s="3">
        <f>IF(COUNTA(A15:A242)=0,1,COUNTA(A15:A242))</f>
        <v>5</v>
      </c>
      <c r="C11" s="62" t="s">
        <v>56</v>
      </c>
      <c r="D11" s="3">
        <f>IF(COUNTIF(F10:AD10,"&gt;0")=0,1,COUNTIF(F10:AD10,"&gt;0"))</f>
        <v>12</v>
      </c>
      <c r="E11" s="3"/>
      <c r="F11" s="3">
        <f>IF(F14="","",$E10-$E10/($B9-1)*(F14-1))</f>
        <v>8</v>
      </c>
      <c r="G11" s="3">
        <f>IF(G14="","",'Sp3'!TotalEffort-'Sp3'!TotalEffort/('Sp3'!ImplementationDays)*(G14-1))</f>
        <v>6.4</v>
      </c>
      <c r="H11" s="3">
        <f>IF(H14="","",'Sp3'!TotalEffort-'Sp3'!TotalEffort/('Sp3'!ImplementationDays)*(H14-1))</f>
        <v>4.8</v>
      </c>
      <c r="I11" s="3">
        <f>IF(I14="","",'Sp3'!TotalEffort-'Sp3'!TotalEffort/('Sp3'!ImplementationDays)*(I14-1))</f>
        <v>3.2</v>
      </c>
      <c r="J11" s="3">
        <f>IF(J14="","",'Sp3'!TotalEffort-'Sp3'!TotalEffort/('Sp3'!ImplementationDays)*(J14-1))</f>
        <v>1.6</v>
      </c>
      <c r="K11" s="3">
        <f>IF(K14="","",'Sp3'!TotalEffort-'Sp3'!TotalEffort/('Sp3'!ImplementationDays)*(K14-1))</f>
        <v>0</v>
      </c>
      <c r="L11" s="3">
        <f>IF(L14="","",'Sp3'!TotalEffort-'Sp3'!TotalEffort/('Sp3'!ImplementationDays)*(L14-1))</f>
        <v>-1.6</v>
      </c>
      <c r="M11" s="3">
        <f>IF(M14="","",'Sp3'!TotalEffort-'Sp3'!TotalEffort/('Sp3'!ImplementationDays)*(M14-1))</f>
        <v>-3.2</v>
      </c>
      <c r="N11" s="3">
        <f>IF(N14="","",'Sp3'!TotalEffort-'Sp3'!TotalEffort/('Sp3'!ImplementationDays)*(N14-1))</f>
        <v>-4.8</v>
      </c>
      <c r="O11" s="3">
        <f>IF(O14="","",'Sp3'!TotalEffort-'Sp3'!TotalEffort/('Sp3'!ImplementationDays)*(O14-1))</f>
        <v>-6.4</v>
      </c>
      <c r="P11" s="3">
        <f>IF(P14="","",'Sp3'!TotalEffort-'Sp3'!TotalEffort/('Sp3'!ImplementationDays)*(P14-1))</f>
        <v>-8</v>
      </c>
      <c r="Q11" s="3">
        <f>IF(Q14="","",'Sp3'!TotalEffort-'Sp3'!TotalEffort/('Sp3'!ImplementationDays)*(Q14-1))</f>
        <v>-9.6</v>
      </c>
      <c r="R11" s="3">
        <f>IF(R14="","",'Sp3'!TotalEffort-'Sp3'!TotalEffort/('Sp3'!ImplementationDays)*(R14-1))</f>
        <v>-11.2</v>
      </c>
      <c r="S11" s="3">
        <f>IF(S14="","",'Sp3'!TotalEffort-'Sp3'!TotalEffort/('Sp3'!ImplementationDays)*(S14-1))</f>
        <v>-12.8</v>
      </c>
      <c r="T11" s="3" t="str">
        <f>IF(T14="","",'Sp3'!TotalEffort-'Sp3'!TotalEffort/('Sp3'!ImplementationDays)*(T14-1))</f>
        <v/>
      </c>
      <c r="U11" s="3" t="str">
        <f>IF(U14="","",'Sp3'!TotalEffort-'Sp3'!TotalEffort/('Sp3'!ImplementationDays)*(U14-1))</f>
        <v/>
      </c>
      <c r="V11" s="3" t="str">
        <f>IF(V14="","",'Sp3'!TotalEffort-'Sp3'!TotalEffort/('Sp3'!ImplementationDays)*(V14-1))</f>
        <v/>
      </c>
      <c r="W11" s="3" t="str">
        <f>IF(W14="","",'Sp3'!TotalEffort-'Sp3'!TotalEffort/('Sp3'!ImplementationDays)*(W14-1))</f>
        <v/>
      </c>
      <c r="X11" s="3" t="str">
        <f>IF(X14="","",'Sp3'!TotalEffort-'Sp3'!TotalEffort/('Sp3'!ImplementationDays)*(X14-1))</f>
        <v/>
      </c>
      <c r="Y11" s="3" t="str">
        <f>IF(Y14="","",'Sp3'!TotalEffort-'Sp3'!TotalEffort/('Sp3'!ImplementationDays)*(Y14-1))</f>
        <v/>
      </c>
      <c r="Z11" s="3" t="str">
        <f>IF(Z14="","",'Sp3'!TotalEffort-'Sp3'!TotalEffort/('Sp3'!ImplementationDays)*(Z14-1))</f>
        <v/>
      </c>
      <c r="AA11" s="3" t="str">
        <f>IF(AA14="","",'Sp3'!TotalEffort-'Sp3'!TotalEffort/('Sp3'!ImplementationDays)*(AA14-1))</f>
        <v/>
      </c>
      <c r="AB11" s="3" t="str">
        <f>IF(AB14="","",'Sp3'!TotalEffort-'Sp3'!TotalEffort/('Sp3'!ImplementationDays)*(AB14-1))</f>
        <v/>
      </c>
      <c r="AC11" s="3" t="str">
        <f>IF(AC14="","",'Sp3'!TotalEffort-'Sp3'!TotalEffort/('Sp3'!ImplementationDays)*(AC14-1))</f>
        <v/>
      </c>
      <c r="AD11" s="3" t="str">
        <f>IF(AD14="","",'Sp3'!TotalEffort-'Sp3'!TotalEffort/('Sp3'!ImplementationDays)*(AD14-1))</f>
        <v/>
      </c>
    </row>
    <row r="12" ht="12.75" hidden="1" customHeight="1">
      <c r="A12" s="68" t="s">
        <v>57</v>
      </c>
      <c r="C12" s="62" t="s">
        <v>59</v>
      </c>
      <c r="D12" s="3"/>
      <c r="E12" s="3"/>
      <c r="F12" s="3">
        <f t="array" ref="F12">IF(TREND(OFFSET($F10,0,'Sp3'!DoneDays-'Sp3'!TrendDays,1,'Sp3'!TrendDays),OFFSET($F13,0,'Sp3'!DoneDays-'Sp3'!TrendDays,1,'Sp3'!TrendDays),F13)&lt;0,"",TREND(OFFSET($F10,0,'Sp3'!DoneDays-'Sp3'!TrendDays,1,'Sp3'!TrendDays),OFFSET($F13,0,'Sp3'!DoneDays-'Sp3'!TrendDays,1,'Sp3'!TrendDays),F13))</f>
        <v>4.6</v>
      </c>
      <c r="G12" s="3">
        <f t="array" ref="G12">IF(TREND(OFFSET($F10,0,'Sp3'!DoneDays-'Sp3'!TrendDays,1,'Sp3'!TrendDays),OFFSET($F13,0,'Sp3'!DoneDays-'Sp3'!TrendDays,1,'Sp3'!TrendDays),G13)&lt;0,"",TREND(OFFSET($F10,0,'Sp3'!DoneDays-'Sp3'!TrendDays,1,'Sp3'!TrendDays),OFFSET($F13,0,'Sp3'!DoneDays-'Sp3'!TrendDays,1,'Sp3'!TrendDays),G13))</f>
        <v>4.4</v>
      </c>
      <c r="H12" s="3">
        <f t="array" ref="H12">IF(TREND(OFFSET($F10,0,'Sp3'!DoneDays-'Sp3'!TrendDays,1,'Sp3'!TrendDays),OFFSET($F13,0,'Sp3'!DoneDays-'Sp3'!TrendDays,1,'Sp3'!TrendDays),H13)&lt;0,"",TREND(OFFSET($F10,0,'Sp3'!DoneDays-'Sp3'!TrendDays,1,'Sp3'!TrendDays),OFFSET($F13,0,'Sp3'!DoneDays-'Sp3'!TrendDays,1,'Sp3'!TrendDays),H13))</f>
        <v>4.2</v>
      </c>
      <c r="I12" s="3">
        <f t="array" ref="I12">IF(TREND(OFFSET($F10,0,'Sp3'!DoneDays-'Sp3'!TrendDays,1,'Sp3'!TrendDays),OFFSET($F13,0,'Sp3'!DoneDays-'Sp3'!TrendDays,1,'Sp3'!TrendDays),I13)&lt;0,"",TREND(OFFSET($F10,0,'Sp3'!DoneDays-'Sp3'!TrendDays,1,'Sp3'!TrendDays),OFFSET($F13,0,'Sp3'!DoneDays-'Sp3'!TrendDays,1,'Sp3'!TrendDays),I13))</f>
        <v>4</v>
      </c>
      <c r="J12" s="3">
        <f t="array" ref="J12">IF(TREND(OFFSET($F10,0,'Sp3'!DoneDays-'Sp3'!TrendDays,1,'Sp3'!TrendDays),OFFSET($F13,0,'Sp3'!DoneDays-'Sp3'!TrendDays,1,'Sp3'!TrendDays),J13)&lt;0,"",TREND(OFFSET($F10,0,'Sp3'!DoneDays-'Sp3'!TrendDays,1,'Sp3'!TrendDays),OFFSET($F13,0,'Sp3'!DoneDays-'Sp3'!TrendDays,1,'Sp3'!TrendDays),J13))</f>
        <v>3.8</v>
      </c>
      <c r="K12" s="3">
        <f t="array" ref="K12">IF(TREND(OFFSET($F10,0,'Sp3'!DoneDays-'Sp3'!TrendDays,1,'Sp3'!TrendDays),OFFSET($F13,0,'Sp3'!DoneDays-'Sp3'!TrendDays,1,'Sp3'!TrendDays),K13)&lt;0,"",TREND(OFFSET($F10,0,'Sp3'!DoneDays-'Sp3'!TrendDays,1,'Sp3'!TrendDays),OFFSET($F13,0,'Sp3'!DoneDays-'Sp3'!TrendDays,1,'Sp3'!TrendDays),K13))</f>
        <v>3.6</v>
      </c>
      <c r="L12" s="3">
        <f t="array" ref="L12">IF(TREND(OFFSET($F10,0,'Sp3'!DoneDays-'Sp3'!TrendDays,1,'Sp3'!TrendDays),OFFSET($F13,0,'Sp3'!DoneDays-'Sp3'!TrendDays,1,'Sp3'!TrendDays),L13)&lt;0,"",TREND(OFFSET($F10,0,'Sp3'!DoneDays-'Sp3'!TrendDays,1,'Sp3'!TrendDays),OFFSET($F13,0,'Sp3'!DoneDays-'Sp3'!TrendDays,1,'Sp3'!TrendDays),L13))</f>
        <v>3.4</v>
      </c>
      <c r="M12" s="3">
        <f t="array" ref="M12">IF(TREND(OFFSET($F10,0,'Sp3'!DoneDays-'Sp3'!TrendDays,1,'Sp3'!TrendDays),OFFSET($F13,0,'Sp3'!DoneDays-'Sp3'!TrendDays,1,'Sp3'!TrendDays),M13)&lt;0,"",TREND(OFFSET($F10,0,'Sp3'!DoneDays-'Sp3'!TrendDays,1,'Sp3'!TrendDays),OFFSET($F13,0,'Sp3'!DoneDays-'Sp3'!TrendDays,1,'Sp3'!TrendDays),M13))</f>
        <v>3.2</v>
      </c>
      <c r="N12" s="3">
        <f t="array" ref="N12">IF(TREND(OFFSET($F10,0,'Sp3'!DoneDays-'Sp3'!TrendDays,1,'Sp3'!TrendDays),OFFSET($F13,0,'Sp3'!DoneDays-'Sp3'!TrendDays,1,'Sp3'!TrendDays),N13)&lt;0,"",TREND(OFFSET($F10,0,'Sp3'!DoneDays-'Sp3'!TrendDays,1,'Sp3'!TrendDays),OFFSET($F13,0,'Sp3'!DoneDays-'Sp3'!TrendDays,1,'Sp3'!TrendDays),N13))</f>
        <v>3</v>
      </c>
      <c r="O12" s="3">
        <f t="array" ref="O12">IF(TREND(OFFSET($F10,0,'Sp3'!DoneDays-'Sp3'!TrendDays,1,'Sp3'!TrendDays),OFFSET($F13,0,'Sp3'!DoneDays-'Sp3'!TrendDays,1,'Sp3'!TrendDays),O13)&lt;0,"",TREND(OFFSET($F10,0,'Sp3'!DoneDays-'Sp3'!TrendDays,1,'Sp3'!TrendDays),OFFSET($F13,0,'Sp3'!DoneDays-'Sp3'!TrendDays,1,'Sp3'!TrendDays),O13))</f>
        <v>2.8</v>
      </c>
      <c r="P12" s="3">
        <f t="array" ref="P12">IF(TREND(OFFSET($F10,0,'Sp3'!DoneDays-'Sp3'!TrendDays,1,'Sp3'!TrendDays),OFFSET($F13,0,'Sp3'!DoneDays-'Sp3'!TrendDays,1,'Sp3'!TrendDays),P13)&lt;0,"",TREND(OFFSET($F10,0,'Sp3'!DoneDays-'Sp3'!TrendDays,1,'Sp3'!TrendDays),OFFSET($F13,0,'Sp3'!DoneDays-'Sp3'!TrendDays,1,'Sp3'!TrendDays),P13))</f>
        <v>2.6</v>
      </c>
      <c r="Q12" s="3">
        <f t="array" ref="Q12">IF(TREND(OFFSET($F10,0,'Sp3'!DoneDays-'Sp3'!TrendDays,1,'Sp3'!TrendDays),OFFSET($F13,0,'Sp3'!DoneDays-'Sp3'!TrendDays,1,'Sp3'!TrendDays),Q13)&lt;0,"",TREND(OFFSET($F10,0,'Sp3'!DoneDays-'Sp3'!TrendDays,1,'Sp3'!TrendDays),OFFSET($F13,0,'Sp3'!DoneDays-'Sp3'!TrendDays,1,'Sp3'!TrendDays),Q13))</f>
        <v>2.4</v>
      </c>
      <c r="R12" s="3">
        <f t="array" ref="R12">IF(TREND(OFFSET($F10,0,'Sp3'!DoneDays-'Sp3'!TrendDays,1,'Sp3'!TrendDays),OFFSET($F13,0,'Sp3'!DoneDays-'Sp3'!TrendDays,1,'Sp3'!TrendDays),R13)&lt;0,"",TREND(OFFSET($F10,0,'Sp3'!DoneDays-'Sp3'!TrendDays,1,'Sp3'!TrendDays),OFFSET($F13,0,'Sp3'!DoneDays-'Sp3'!TrendDays,1,'Sp3'!TrendDays),R13))</f>
        <v>2.2</v>
      </c>
      <c r="S12" s="3">
        <f t="array" ref="S12">IF(TREND(OFFSET($F10,0,'Sp3'!DoneDays-'Sp3'!TrendDays,1,'Sp3'!TrendDays),OFFSET($F13,0,'Sp3'!DoneDays-'Sp3'!TrendDays,1,'Sp3'!TrendDays),S13)&lt;0,"",TREND(OFFSET($F10,0,'Sp3'!DoneDays-'Sp3'!TrendDays,1,'Sp3'!TrendDays),OFFSET($F13,0,'Sp3'!DoneDays-'Sp3'!TrendDays,1,'Sp3'!TrendDays),S13))</f>
        <v>2</v>
      </c>
      <c r="T12" s="3">
        <f t="array" ref="T12">IF(TREND(OFFSET($F10,0,'Sp3'!DoneDays-'Sp3'!TrendDays,1,'Sp3'!TrendDays),OFFSET($F13,0,'Sp3'!DoneDays-'Sp3'!TrendDays,1,'Sp3'!TrendDays),T13)&lt;0,"",TREND(OFFSET($F10,0,'Sp3'!DoneDays-'Sp3'!TrendDays,1,'Sp3'!TrendDays),OFFSET($F13,0,'Sp3'!DoneDays-'Sp3'!TrendDays,1,'Sp3'!TrendDays),T13))</f>
        <v>1.8</v>
      </c>
      <c r="U12" s="3">
        <f t="array" ref="U12">IF(TREND(OFFSET($F10,0,'Sp3'!DoneDays-'Sp3'!TrendDays,1,'Sp3'!TrendDays),OFFSET($F13,0,'Sp3'!DoneDays-'Sp3'!TrendDays,1,'Sp3'!TrendDays),U13)&lt;0,"",TREND(OFFSET($F10,0,'Sp3'!DoneDays-'Sp3'!TrendDays,1,'Sp3'!TrendDays),OFFSET($F13,0,'Sp3'!DoneDays-'Sp3'!TrendDays,1,'Sp3'!TrendDays),U13))</f>
        <v>1.6</v>
      </c>
      <c r="V12" s="3">
        <f t="array" ref="V12">IF(TREND(OFFSET($F10,0,'Sp3'!DoneDays-'Sp3'!TrendDays,1,'Sp3'!TrendDays),OFFSET($F13,0,'Sp3'!DoneDays-'Sp3'!TrendDays,1,'Sp3'!TrendDays),V13)&lt;0,"",TREND(OFFSET($F10,0,'Sp3'!DoneDays-'Sp3'!TrendDays,1,'Sp3'!TrendDays),OFFSET($F13,0,'Sp3'!DoneDays-'Sp3'!TrendDays,1,'Sp3'!TrendDays),V13))</f>
        <v>1.4</v>
      </c>
      <c r="W12" s="3">
        <f t="array" ref="W12">IF(TREND(OFFSET($F10,0,'Sp3'!DoneDays-'Sp3'!TrendDays,1,'Sp3'!TrendDays),OFFSET($F13,0,'Sp3'!DoneDays-'Sp3'!TrendDays,1,'Sp3'!TrendDays),W13)&lt;0,"",TREND(OFFSET($F10,0,'Sp3'!DoneDays-'Sp3'!TrendDays,1,'Sp3'!TrendDays),OFFSET($F13,0,'Sp3'!DoneDays-'Sp3'!TrendDays,1,'Sp3'!TrendDays),W13))</f>
        <v>1.2</v>
      </c>
      <c r="X12" s="3">
        <f t="array" ref="X12">IF(TREND(OFFSET($F10,0,'Sp3'!DoneDays-'Sp3'!TrendDays,1,'Sp3'!TrendDays),OFFSET($F13,0,'Sp3'!DoneDays-'Sp3'!TrendDays,1,'Sp3'!TrendDays),X13)&lt;0,"",TREND(OFFSET($F10,0,'Sp3'!DoneDays-'Sp3'!TrendDays,1,'Sp3'!TrendDays),OFFSET($F13,0,'Sp3'!DoneDays-'Sp3'!TrendDays,1,'Sp3'!TrendDays),X13))</f>
        <v>1</v>
      </c>
      <c r="Y12" s="3">
        <f t="array" ref="Y12">IF(TREND(OFFSET($F10,0,'Sp3'!DoneDays-'Sp3'!TrendDays,1,'Sp3'!TrendDays),OFFSET($F13,0,'Sp3'!DoneDays-'Sp3'!TrendDays,1,'Sp3'!TrendDays),Y13)&lt;0,"",TREND(OFFSET($F10,0,'Sp3'!DoneDays-'Sp3'!TrendDays,1,'Sp3'!TrendDays),OFFSET($F13,0,'Sp3'!DoneDays-'Sp3'!TrendDays,1,'Sp3'!TrendDays),Y13))</f>
        <v>0.8</v>
      </c>
      <c r="Z12" s="3">
        <f t="array" ref="Z12">IF(TREND(OFFSET($F10,0,'Sp3'!DoneDays-'Sp3'!TrendDays,1,'Sp3'!TrendDays),OFFSET($F13,0,'Sp3'!DoneDays-'Sp3'!TrendDays,1,'Sp3'!TrendDays),Z13)&lt;0,"",TREND(OFFSET($F10,0,'Sp3'!DoneDays-'Sp3'!TrendDays,1,'Sp3'!TrendDays),OFFSET($F13,0,'Sp3'!DoneDays-'Sp3'!TrendDays,1,'Sp3'!TrendDays),Z13))</f>
        <v>0.6</v>
      </c>
      <c r="AA12" s="3">
        <f t="array" ref="AA12">IF(TREND(OFFSET($F10,0,'Sp3'!DoneDays-'Sp3'!TrendDays,1,'Sp3'!TrendDays),OFFSET($F13,0,'Sp3'!DoneDays-'Sp3'!TrendDays,1,'Sp3'!TrendDays),AA13)&lt;0,"",TREND(OFFSET($F10,0,'Sp3'!DoneDays-'Sp3'!TrendDays,1,'Sp3'!TrendDays),OFFSET($F13,0,'Sp3'!DoneDays-'Sp3'!TrendDays,1,'Sp3'!TrendDays),AA13))</f>
        <v>0.4</v>
      </c>
      <c r="AB12" s="3">
        <f t="array" ref="AB12">IF(TREND(OFFSET($F10,0,'Sp3'!DoneDays-'Sp3'!TrendDays,1,'Sp3'!TrendDays),OFFSET($F13,0,'Sp3'!DoneDays-'Sp3'!TrendDays,1,'Sp3'!TrendDays),AB13)&lt;0,"",TREND(OFFSET($F10,0,'Sp3'!DoneDays-'Sp3'!TrendDays,1,'Sp3'!TrendDays),OFFSET($F13,0,'Sp3'!DoneDays-'Sp3'!TrendDays,1,'Sp3'!TrendDays),AB13))</f>
        <v>0.2</v>
      </c>
      <c r="AC12" s="3">
        <f t="array" ref="AC12">IF(TREND(OFFSET($F10,0,'Sp3'!DoneDays-'Sp3'!TrendDays,1,'Sp3'!TrendDays),OFFSET($F13,0,'Sp3'!DoneDays-'Sp3'!TrendDays,1,'Sp3'!TrendDays),AC13)&lt;0,"",TREND(OFFSET($F10,0,'Sp3'!DoneDays-'Sp3'!TrendDays,1,'Sp3'!TrendDays),OFFSET($F13,0,'Sp3'!DoneDays-'Sp3'!TrendDays,1,'Sp3'!TrendDays),AC13))</f>
        <v>0</v>
      </c>
      <c r="AD12" s="3" t="str">
        <f t="array" ref="AD12">IF(TREND(OFFSET($F10,0,'Sp3'!DoneDays-'Sp3'!TrendDays,1,'Sp3'!TrendDays),OFFSET($F13,0,'Sp3'!DoneDays-'Sp3'!TrendDays,1,'Sp3'!TrendDays),AD13)&lt;0,"",TREND(OFFSET($F10,0,'Sp3'!DoneDays-'Sp3'!TrendDays,1,'Sp3'!TrendDays),OFFSET($F13,0,'Sp3'!DoneDays-'Sp3'!TrendDays,1,'Sp3'!TrendDays),AD13))</f>
        <v/>
      </c>
    </row>
    <row r="13" ht="12.75" hidden="1" customHeight="1">
      <c r="A13" s="68" t="s">
        <v>60</v>
      </c>
      <c r="C13" s="62" t="s">
        <v>61</v>
      </c>
      <c r="D13" s="3">
        <f>IF('Sp3'!DoneDays&gt;B10,B10,'Sp3'!DoneDays)</f>
        <v>5</v>
      </c>
      <c r="E13" s="3"/>
      <c r="F13" s="3">
        <f>IF('Sp3'!DoneDays&gt;E13,E13+1,"")</f>
        <v>1</v>
      </c>
      <c r="G13" s="3">
        <v>2.0</v>
      </c>
      <c r="H13" s="3">
        <v>3.0</v>
      </c>
      <c r="I13" s="3">
        <v>4.0</v>
      </c>
      <c r="J13" s="3">
        <v>5.0</v>
      </c>
      <c r="K13" s="3">
        <v>6.0</v>
      </c>
      <c r="L13" s="3">
        <v>7.0</v>
      </c>
      <c r="M13" s="3">
        <v>8.0</v>
      </c>
      <c r="N13" s="3">
        <v>9.0</v>
      </c>
      <c r="O13" s="3">
        <v>10.0</v>
      </c>
      <c r="P13" s="3">
        <v>11.0</v>
      </c>
      <c r="Q13" s="3">
        <v>12.0</v>
      </c>
      <c r="R13" s="3">
        <v>13.0</v>
      </c>
      <c r="S13" s="3">
        <v>14.0</v>
      </c>
      <c r="T13" s="3">
        <v>15.0</v>
      </c>
      <c r="U13" s="3">
        <v>16.0</v>
      </c>
      <c r="V13" s="3">
        <v>17.0</v>
      </c>
      <c r="W13" s="3">
        <v>18.0</v>
      </c>
      <c r="X13" s="3">
        <v>19.0</v>
      </c>
      <c r="Y13" s="3">
        <v>20.0</v>
      </c>
      <c r="Z13" s="3">
        <v>21.0</v>
      </c>
      <c r="AA13" s="3">
        <v>22.0</v>
      </c>
      <c r="AB13" s="3">
        <v>23.0</v>
      </c>
      <c r="AC13" s="3">
        <v>24.0</v>
      </c>
      <c r="AD13" s="3">
        <v>25.0</v>
      </c>
    </row>
    <row r="14" ht="12.75" customHeight="1">
      <c r="A14" s="76" t="s">
        <v>62</v>
      </c>
      <c r="B14" s="81" t="s">
        <v>11</v>
      </c>
      <c r="C14" s="76" t="s">
        <v>63</v>
      </c>
      <c r="D14" s="76" t="s">
        <v>8</v>
      </c>
      <c r="E14" s="81" t="s">
        <v>64</v>
      </c>
      <c r="F14" s="81">
        <v>1.0</v>
      </c>
      <c r="G14" s="81">
        <f t="shared" ref="G14:J14" si="1">IF($B$9&gt;F14,F14+1,"")</f>
        <v>2</v>
      </c>
      <c r="H14" s="81">
        <f t="shared" si="1"/>
        <v>3</v>
      </c>
      <c r="I14" s="81">
        <f t="shared" si="1"/>
        <v>4</v>
      </c>
      <c r="J14" s="81">
        <f t="shared" si="1"/>
        <v>5</v>
      </c>
      <c r="K14" s="82">
        <v>6.0</v>
      </c>
      <c r="L14" s="82">
        <v>7.0</v>
      </c>
      <c r="M14" s="82">
        <v>8.0</v>
      </c>
      <c r="N14" s="82">
        <v>9.0</v>
      </c>
      <c r="O14" s="82">
        <v>10.0</v>
      </c>
      <c r="P14" s="82">
        <v>11.0</v>
      </c>
      <c r="Q14" s="82">
        <v>12.0</v>
      </c>
      <c r="R14" s="82">
        <v>13.0</v>
      </c>
      <c r="S14" s="82">
        <v>14.0</v>
      </c>
      <c r="T14" s="81" t="str">
        <f t="shared" ref="T14:AD14" si="2">IF($B$9&gt;S14,S14+1,"")</f>
        <v/>
      </c>
      <c r="U14" s="81" t="str">
        <f t="shared" si="2"/>
        <v/>
      </c>
      <c r="V14" s="81" t="str">
        <f t="shared" si="2"/>
        <v/>
      </c>
      <c r="W14" s="81" t="str">
        <f t="shared" si="2"/>
        <v/>
      </c>
      <c r="X14" s="81" t="str">
        <f t="shared" si="2"/>
        <v/>
      </c>
      <c r="Y14" s="81" t="str">
        <f t="shared" si="2"/>
        <v/>
      </c>
      <c r="Z14" s="81" t="str">
        <f t="shared" si="2"/>
        <v/>
      </c>
      <c r="AA14" s="81" t="str">
        <f t="shared" si="2"/>
        <v/>
      </c>
      <c r="AB14" s="81" t="str">
        <f t="shared" si="2"/>
        <v/>
      </c>
      <c r="AC14" s="81" t="str">
        <f t="shared" si="2"/>
        <v/>
      </c>
      <c r="AD14" s="81" t="str">
        <f t="shared" si="2"/>
        <v/>
      </c>
    </row>
    <row r="15" ht="12.75" customHeight="1">
      <c r="A15" s="84" t="s">
        <v>83</v>
      </c>
      <c r="B15" s="73">
        <v>4.0</v>
      </c>
      <c r="C15" s="72" t="s">
        <v>69</v>
      </c>
      <c r="D15" s="62" t="str">
        <f>IF(A15&lt;&gt;"","Planned","")</f>
        <v>Planned</v>
      </c>
      <c r="E15" s="73">
        <v>2.0</v>
      </c>
      <c r="F15" s="3">
        <f t="shared" ref="F15:F59" si="3">IF(OR(F$14="",$E15=""),"",E15)</f>
        <v>2</v>
      </c>
      <c r="G15" s="83">
        <v>2.0</v>
      </c>
      <c r="H15" s="83">
        <v>2.0</v>
      </c>
      <c r="I15" s="83">
        <v>2.0</v>
      </c>
      <c r="J15" s="83">
        <v>1.0</v>
      </c>
      <c r="K15" s="83">
        <v>0.0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</row>
    <row r="16" ht="12.75" customHeight="1">
      <c r="A16" s="84" t="s">
        <v>84</v>
      </c>
      <c r="B16" s="73">
        <v>5.0</v>
      </c>
      <c r="C16" s="72" t="s">
        <v>85</v>
      </c>
      <c r="D16" s="72" t="s">
        <v>17</v>
      </c>
      <c r="E16" s="73">
        <v>1.0</v>
      </c>
      <c r="F16" s="3">
        <f t="shared" si="3"/>
        <v>1</v>
      </c>
      <c r="G16" s="83">
        <v>1.0</v>
      </c>
      <c r="H16" s="83">
        <v>1.0</v>
      </c>
      <c r="I16" s="83">
        <v>1.0</v>
      </c>
      <c r="J16" s="83">
        <v>1.0</v>
      </c>
      <c r="K16" s="83">
        <v>0.0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 t="str">
        <f t="shared" ref="AC16:AD16" si="4">IF(OR(AC$14="",$E16=""),"",AB16)</f>
        <v/>
      </c>
      <c r="AD16" s="3" t="str">
        <f t="shared" si="4"/>
        <v/>
      </c>
    </row>
    <row r="17" ht="12.75" customHeight="1">
      <c r="A17" s="84" t="s">
        <v>86</v>
      </c>
      <c r="B17" s="73">
        <v>7.0</v>
      </c>
      <c r="C17" s="72" t="s">
        <v>87</v>
      </c>
      <c r="D17" s="72" t="s">
        <v>17</v>
      </c>
      <c r="E17" s="73">
        <v>2.0</v>
      </c>
      <c r="F17" s="3">
        <f t="shared" si="3"/>
        <v>2</v>
      </c>
      <c r="G17" s="83">
        <v>2.0</v>
      </c>
      <c r="H17" s="83">
        <v>2.0</v>
      </c>
      <c r="I17" s="83">
        <v>2.0</v>
      </c>
      <c r="J17" s="83">
        <v>2.0</v>
      </c>
      <c r="K17" s="83">
        <v>2.0</v>
      </c>
      <c r="L17" s="83">
        <v>2.0</v>
      </c>
      <c r="M17" s="83">
        <v>2.0</v>
      </c>
      <c r="N17" s="83">
        <v>2.0</v>
      </c>
      <c r="O17" s="83">
        <v>2.0</v>
      </c>
      <c r="P17" s="83">
        <v>2.0</v>
      </c>
      <c r="Q17" s="83">
        <v>1.0</v>
      </c>
      <c r="R17" s="83">
        <v>0.0</v>
      </c>
      <c r="S17" s="83"/>
      <c r="T17" s="3"/>
      <c r="U17" s="3"/>
      <c r="V17" s="3"/>
      <c r="W17" s="3"/>
      <c r="X17" s="3"/>
      <c r="Y17" s="3"/>
      <c r="Z17" s="3"/>
      <c r="AA17" s="3"/>
      <c r="AB17" s="3"/>
      <c r="AC17" s="3" t="str">
        <f t="shared" ref="AC17:AD17" si="5">IF(OR(AC$14="",$E17=""),"",AB17)</f>
        <v/>
      </c>
      <c r="AD17" s="3" t="str">
        <f t="shared" si="5"/>
        <v/>
      </c>
    </row>
    <row r="18" ht="12.75" customHeight="1">
      <c r="A18" s="84" t="s">
        <v>88</v>
      </c>
      <c r="B18" s="73">
        <v>8.0</v>
      </c>
      <c r="C18" s="72" t="s">
        <v>76</v>
      </c>
      <c r="D18" s="72" t="s">
        <v>17</v>
      </c>
      <c r="E18" s="73">
        <v>1.0</v>
      </c>
      <c r="F18" s="3">
        <f t="shared" si="3"/>
        <v>1</v>
      </c>
      <c r="G18" s="83">
        <v>1.0</v>
      </c>
      <c r="H18" s="83">
        <v>1.0</v>
      </c>
      <c r="I18" s="83">
        <v>1.0</v>
      </c>
      <c r="J18" s="83">
        <v>1.0</v>
      </c>
      <c r="K18" s="83">
        <v>1.0</v>
      </c>
      <c r="L18" s="83">
        <v>1.0</v>
      </c>
      <c r="M18" s="83">
        <v>1.0</v>
      </c>
      <c r="N18" s="83">
        <v>1.0</v>
      </c>
      <c r="O18" s="83">
        <v>1.0</v>
      </c>
      <c r="P18" s="83">
        <v>1.0</v>
      </c>
      <c r="Q18" s="83">
        <v>1.0</v>
      </c>
      <c r="R18" s="83">
        <v>0.0</v>
      </c>
      <c r="S18" s="83"/>
      <c r="T18" s="3"/>
      <c r="U18" s="3"/>
      <c r="V18" s="3"/>
      <c r="W18" s="3"/>
      <c r="X18" s="3"/>
      <c r="Y18" s="3"/>
      <c r="Z18" s="3"/>
      <c r="AA18" s="3"/>
      <c r="AB18" s="3"/>
      <c r="AC18" s="3" t="str">
        <f t="shared" ref="AC18:AD18" si="6">IF(OR(AC$14="",$E18=""),"",AB18)</f>
        <v/>
      </c>
      <c r="AD18" s="3" t="str">
        <f t="shared" si="6"/>
        <v/>
      </c>
    </row>
    <row r="19" ht="12.75" customHeight="1">
      <c r="A19" s="84" t="s">
        <v>89</v>
      </c>
      <c r="B19" s="73">
        <v>13.0</v>
      </c>
      <c r="C19" s="84" t="s">
        <v>90</v>
      </c>
      <c r="D19" s="72" t="s">
        <v>17</v>
      </c>
      <c r="E19" s="73">
        <v>1.0</v>
      </c>
      <c r="F19" s="3">
        <f t="shared" si="3"/>
        <v>1</v>
      </c>
      <c r="G19" s="83">
        <v>1.0</v>
      </c>
      <c r="H19" s="83">
        <v>1.0</v>
      </c>
      <c r="I19" s="83">
        <v>1.0</v>
      </c>
      <c r="J19" s="83">
        <v>0.0</v>
      </c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 t="str">
        <f t="shared" ref="AC19:AD19" si="7">IF(OR(AC$14="",$E19=""),"",AB19)</f>
        <v/>
      </c>
      <c r="AD19" s="3" t="str">
        <f t="shared" si="7"/>
        <v/>
      </c>
    </row>
    <row r="20" ht="12.75" customHeight="1">
      <c r="B20" s="3"/>
      <c r="D20" s="62" t="str">
        <f t="shared" ref="D20:D59" si="9">IF(A20&lt;&gt;"","Planned","")</f>
        <v/>
      </c>
      <c r="E20" s="3"/>
      <c r="F20" s="3" t="str">
        <f t="shared" si="3"/>
        <v/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 t="str">
        <f t="shared" ref="AC20:AD20" si="8">IF(OR(AC$14="",$E20=""),"",AB20)</f>
        <v/>
      </c>
      <c r="AD20" s="3" t="str">
        <f t="shared" si="8"/>
        <v/>
      </c>
    </row>
    <row r="21" ht="12.75" customHeight="1">
      <c r="B21" s="3"/>
      <c r="D21" s="62" t="str">
        <f t="shared" si="9"/>
        <v/>
      </c>
      <c r="E21" s="3"/>
      <c r="F21" s="3" t="str">
        <f t="shared" si="3"/>
        <v/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 t="str">
        <f t="shared" ref="AC21:AD21" si="10">IF(OR(AC$14="",$E21=""),"",AB21)</f>
        <v/>
      </c>
      <c r="AD21" s="3" t="str">
        <f t="shared" si="10"/>
        <v/>
      </c>
    </row>
    <row r="22" ht="12.75" customHeight="1">
      <c r="B22" s="3"/>
      <c r="D22" s="62" t="str">
        <f t="shared" si="9"/>
        <v/>
      </c>
      <c r="E22" s="3"/>
      <c r="F22" s="3" t="str">
        <f t="shared" si="3"/>
        <v/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tr">
        <f t="shared" ref="AC22:AD22" si="11">IF(OR(AC$14="",$E22=""),"",AB22)</f>
        <v/>
      </c>
      <c r="AD22" s="3" t="str">
        <f t="shared" si="11"/>
        <v/>
      </c>
    </row>
    <row r="23" ht="12.75" customHeight="1">
      <c r="B23" s="3"/>
      <c r="D23" s="62" t="str">
        <f t="shared" si="9"/>
        <v/>
      </c>
      <c r="E23" s="3"/>
      <c r="F23" s="3" t="str">
        <f t="shared" si="3"/>
        <v/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 t="str">
        <f t="shared" ref="AC23:AD23" si="12">IF(OR(AC$14="",$E23=""),"",AB23)</f>
        <v/>
      </c>
      <c r="AD23" s="3" t="str">
        <f t="shared" si="12"/>
        <v/>
      </c>
    </row>
    <row r="24" ht="12.75" customHeight="1">
      <c r="B24" s="3"/>
      <c r="D24" s="62" t="str">
        <f t="shared" si="9"/>
        <v/>
      </c>
      <c r="E24" s="3"/>
      <c r="F24" s="3" t="str">
        <f t="shared" si="3"/>
        <v/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 t="str">
        <f t="shared" ref="AC24:AD24" si="13">IF(OR(AC$14="",$E24=""),"",AB24)</f>
        <v/>
      </c>
      <c r="AD24" s="3" t="str">
        <f t="shared" si="13"/>
        <v/>
      </c>
    </row>
    <row r="25" ht="12.75" customHeight="1">
      <c r="B25" s="3"/>
      <c r="D25" s="62" t="str">
        <f t="shared" si="9"/>
        <v/>
      </c>
      <c r="E25" s="3"/>
      <c r="F25" s="3" t="str">
        <f t="shared" si="3"/>
        <v/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 t="str">
        <f t="shared" ref="AC25:AD25" si="14">IF(OR(AC$14="",$E25=""),"",AB25)</f>
        <v/>
      </c>
      <c r="AD25" s="3" t="str">
        <f t="shared" si="14"/>
        <v/>
      </c>
    </row>
    <row r="26" ht="12.75" customHeight="1">
      <c r="B26" s="3"/>
      <c r="D26" s="62" t="str">
        <f t="shared" si="9"/>
        <v/>
      </c>
      <c r="E26" s="3"/>
      <c r="F26" s="3" t="str">
        <f t="shared" si="3"/>
        <v/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 t="str">
        <f t="shared" ref="AC26:AD26" si="15">IF(OR(AC$14="",$E26=""),"",AB26)</f>
        <v/>
      </c>
      <c r="AD26" s="3" t="str">
        <f t="shared" si="15"/>
        <v/>
      </c>
    </row>
    <row r="27" ht="12.75" customHeight="1">
      <c r="B27" s="3"/>
      <c r="D27" s="62" t="str">
        <f t="shared" si="9"/>
        <v/>
      </c>
      <c r="E27" s="3"/>
      <c r="F27" s="3" t="str">
        <f t="shared" si="3"/>
        <v/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 t="str">
        <f t="shared" ref="AC27:AD27" si="16">IF(OR(AC$14="",$E27=""),"",AB27)</f>
        <v/>
      </c>
      <c r="AD27" s="3" t="str">
        <f t="shared" si="16"/>
        <v/>
      </c>
    </row>
    <row r="28" ht="12.75" customHeight="1">
      <c r="B28" s="3"/>
      <c r="D28" s="62" t="str">
        <f t="shared" si="9"/>
        <v/>
      </c>
      <c r="E28" s="3"/>
      <c r="F28" s="3" t="str">
        <f t="shared" si="3"/>
        <v/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 t="str">
        <f t="shared" ref="AC28:AD28" si="17">IF(OR(AC$14="",$E28=""),"",AB28)</f>
        <v/>
      </c>
      <c r="AD28" s="3" t="str">
        <f t="shared" si="17"/>
        <v/>
      </c>
    </row>
    <row r="29" ht="12.75" customHeight="1">
      <c r="B29" s="3"/>
      <c r="D29" s="62" t="str">
        <f t="shared" si="9"/>
        <v/>
      </c>
      <c r="E29" s="3"/>
      <c r="F29" s="3" t="str">
        <f t="shared" si="3"/>
        <v/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 t="str">
        <f t="shared" ref="AC29:AD29" si="18">IF(OR(AC$14="",$E29=""),"",AB29)</f>
        <v/>
      </c>
      <c r="AD29" s="3" t="str">
        <f t="shared" si="18"/>
        <v/>
      </c>
    </row>
    <row r="30" ht="12.75" customHeight="1">
      <c r="B30" s="3"/>
      <c r="D30" s="62" t="str">
        <f t="shared" si="9"/>
        <v/>
      </c>
      <c r="E30" s="3"/>
      <c r="F30" s="3" t="str">
        <f t="shared" si="3"/>
        <v/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 t="str">
        <f t="shared" ref="AC30:AD30" si="19">IF(OR(AC$14="",$E30=""),"",AB30)</f>
        <v/>
      </c>
      <c r="AD30" s="3" t="str">
        <f t="shared" si="19"/>
        <v/>
      </c>
    </row>
    <row r="31" ht="12.75" customHeight="1">
      <c r="B31" s="3"/>
      <c r="D31" s="62" t="str">
        <f t="shared" si="9"/>
        <v/>
      </c>
      <c r="E31" s="3"/>
      <c r="F31" s="3" t="str">
        <f t="shared" si="3"/>
        <v/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 t="str">
        <f t="shared" ref="AC31:AD31" si="20">IF(OR(AC$14="",$E31=""),"",AB31)</f>
        <v/>
      </c>
      <c r="AD31" s="3" t="str">
        <f t="shared" si="20"/>
        <v/>
      </c>
    </row>
    <row r="32" ht="12.75" customHeight="1">
      <c r="B32" s="3"/>
      <c r="D32" s="62" t="str">
        <f t="shared" si="9"/>
        <v/>
      </c>
      <c r="E32" s="3"/>
      <c r="F32" s="3" t="str">
        <f t="shared" si="3"/>
        <v/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 t="str">
        <f t="shared" ref="AC32:AD32" si="21">IF(OR(AC$14="",$E32=""),"",AB32)</f>
        <v/>
      </c>
      <c r="AD32" s="3" t="str">
        <f t="shared" si="21"/>
        <v/>
      </c>
    </row>
    <row r="33" ht="12.75" customHeight="1">
      <c r="B33" s="3"/>
      <c r="D33" s="62" t="str">
        <f t="shared" si="9"/>
        <v/>
      </c>
      <c r="E33" s="3"/>
      <c r="F33" s="3" t="str">
        <f t="shared" si="3"/>
        <v/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 t="str">
        <f t="shared" ref="AC33:AD33" si="22">IF(OR(AC$14="",$E33=""),"",AB33)</f>
        <v/>
      </c>
      <c r="AD33" s="3" t="str">
        <f t="shared" si="22"/>
        <v/>
      </c>
    </row>
    <row r="34" ht="12.75" customHeight="1">
      <c r="B34" s="3"/>
      <c r="D34" s="62" t="str">
        <f t="shared" si="9"/>
        <v/>
      </c>
      <c r="E34" s="3"/>
      <c r="F34" s="3" t="str">
        <f t="shared" si="3"/>
        <v/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 t="str">
        <f t="shared" ref="AC34:AD34" si="23">IF(OR(AC$14="",$E34=""),"",AB34)</f>
        <v/>
      </c>
      <c r="AD34" s="3" t="str">
        <f t="shared" si="23"/>
        <v/>
      </c>
    </row>
    <row r="35" ht="12.75" customHeight="1">
      <c r="B35" s="3"/>
      <c r="D35" s="62" t="str">
        <f t="shared" si="9"/>
        <v/>
      </c>
      <c r="E35" s="3"/>
      <c r="F35" s="3" t="str">
        <f t="shared" si="3"/>
        <v/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 t="str">
        <f t="shared" ref="AC35:AD35" si="24">IF(OR(AC$14="",$E35=""),"",AB35)</f>
        <v/>
      </c>
      <c r="AD35" s="3" t="str">
        <f t="shared" si="24"/>
        <v/>
      </c>
    </row>
    <row r="36" ht="12.75" customHeight="1">
      <c r="B36" s="3"/>
      <c r="D36" s="62" t="str">
        <f t="shared" si="9"/>
        <v/>
      </c>
      <c r="E36" s="3"/>
      <c r="F36" s="3" t="str">
        <f t="shared" si="3"/>
        <v/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 t="str">
        <f t="shared" ref="AC36:AD36" si="25">IF(OR(AC$14="",$E36=""),"",AB36)</f>
        <v/>
      </c>
      <c r="AD36" s="3" t="str">
        <f t="shared" si="25"/>
        <v/>
      </c>
    </row>
    <row r="37" ht="12.75" customHeight="1">
      <c r="B37" s="3"/>
      <c r="D37" s="62" t="str">
        <f t="shared" si="9"/>
        <v/>
      </c>
      <c r="E37" s="3"/>
      <c r="F37" s="3" t="str">
        <f t="shared" si="3"/>
        <v/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 t="str">
        <f t="shared" ref="AC37:AD37" si="26">IF(OR(AC$14="",$E37=""),"",AB37)</f>
        <v/>
      </c>
      <c r="AD37" s="3" t="str">
        <f t="shared" si="26"/>
        <v/>
      </c>
    </row>
    <row r="38" ht="12.75" customHeight="1">
      <c r="B38" s="3"/>
      <c r="D38" s="62" t="str">
        <f t="shared" si="9"/>
        <v/>
      </c>
      <c r="E38" s="3"/>
      <c r="F38" s="3" t="str">
        <f t="shared" si="3"/>
        <v/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 t="str">
        <f t="shared" ref="AC38:AD38" si="27">IF(OR(AC$14="",$E38=""),"",AB38)</f>
        <v/>
      </c>
      <c r="AD38" s="3" t="str">
        <f t="shared" si="27"/>
        <v/>
      </c>
    </row>
    <row r="39" ht="12.75" customHeight="1">
      <c r="B39" s="3"/>
      <c r="D39" s="62" t="str">
        <f t="shared" si="9"/>
        <v/>
      </c>
      <c r="E39" s="3"/>
      <c r="F39" s="3" t="str">
        <f t="shared" si="3"/>
        <v/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 t="str">
        <f t="shared" ref="AC39:AD39" si="28">IF(OR(AC$14="",$E39=""),"",AB39)</f>
        <v/>
      </c>
      <c r="AD39" s="3" t="str">
        <f t="shared" si="28"/>
        <v/>
      </c>
    </row>
    <row r="40" ht="12.75" customHeight="1">
      <c r="B40" s="3"/>
      <c r="D40" s="62" t="str">
        <f t="shared" si="9"/>
        <v/>
      </c>
      <c r="E40" s="3"/>
      <c r="F40" s="3" t="str">
        <f t="shared" si="3"/>
        <v/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 t="str">
        <f t="shared" ref="AC40:AD40" si="29">IF(OR(AC$14="",$E40=""),"",AB40)</f>
        <v/>
      </c>
      <c r="AD40" s="3" t="str">
        <f t="shared" si="29"/>
        <v/>
      </c>
    </row>
    <row r="41" ht="12.75" customHeight="1">
      <c r="B41" s="3"/>
      <c r="D41" s="62" t="str">
        <f t="shared" si="9"/>
        <v/>
      </c>
      <c r="E41" s="3"/>
      <c r="F41" s="3" t="str">
        <f t="shared" si="3"/>
        <v/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 t="str">
        <f t="shared" ref="AC41:AD41" si="30">IF(OR(AC$14="",$E41=""),"",AB41)</f>
        <v/>
      </c>
      <c r="AD41" s="3" t="str">
        <f t="shared" si="30"/>
        <v/>
      </c>
    </row>
    <row r="42" ht="12.75" customHeight="1">
      <c r="B42" s="3"/>
      <c r="D42" s="62" t="str">
        <f t="shared" si="9"/>
        <v/>
      </c>
      <c r="E42" s="3"/>
      <c r="F42" s="3" t="str">
        <f t="shared" si="3"/>
        <v/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 t="str">
        <f t="shared" ref="AC42:AD42" si="31">IF(OR(AC$14="",$E42=""),"",AB42)</f>
        <v/>
      </c>
      <c r="AD42" s="3" t="str">
        <f t="shared" si="31"/>
        <v/>
      </c>
    </row>
    <row r="43" ht="12.75" customHeight="1">
      <c r="B43" s="3"/>
      <c r="D43" s="62" t="str">
        <f t="shared" si="9"/>
        <v/>
      </c>
      <c r="E43" s="3"/>
      <c r="F43" s="3" t="str">
        <f t="shared" si="3"/>
        <v/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 t="str">
        <f t="shared" ref="AC43:AD43" si="32">IF(OR(AC$14="",$E43=""),"",AB43)</f>
        <v/>
      </c>
      <c r="AD43" s="3" t="str">
        <f t="shared" si="32"/>
        <v/>
      </c>
    </row>
    <row r="44" ht="12.75" customHeight="1">
      <c r="B44" s="3"/>
      <c r="D44" s="62" t="str">
        <f t="shared" si="9"/>
        <v/>
      </c>
      <c r="E44" s="3"/>
      <c r="F44" s="3" t="str">
        <f t="shared" si="3"/>
        <v/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 t="str">
        <f t="shared" ref="AC44:AD44" si="33">IF(OR(AC$14="",$E44=""),"",AB44)</f>
        <v/>
      </c>
      <c r="AD44" s="3" t="str">
        <f t="shared" si="33"/>
        <v/>
      </c>
    </row>
    <row r="45" ht="12.75" customHeight="1">
      <c r="B45" s="3"/>
      <c r="D45" s="62" t="str">
        <f t="shared" si="9"/>
        <v/>
      </c>
      <c r="E45" s="3"/>
      <c r="F45" s="3" t="str">
        <f t="shared" si="3"/>
        <v/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 t="str">
        <f t="shared" ref="AC45:AD45" si="34">IF(OR(AC$14="",$E45=""),"",AB45)</f>
        <v/>
      </c>
      <c r="AD45" s="3" t="str">
        <f t="shared" si="34"/>
        <v/>
      </c>
    </row>
    <row r="46" ht="12.75" customHeight="1">
      <c r="B46" s="3"/>
      <c r="D46" s="62" t="str">
        <f t="shared" si="9"/>
        <v/>
      </c>
      <c r="E46" s="3"/>
      <c r="F46" s="3" t="str">
        <f t="shared" si="3"/>
        <v/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 t="str">
        <f t="shared" ref="AC46:AD46" si="35">IF(OR(AC$14="",$E46=""),"",AB46)</f>
        <v/>
      </c>
      <c r="AD46" s="3" t="str">
        <f t="shared" si="35"/>
        <v/>
      </c>
    </row>
    <row r="47" ht="12.75" customHeight="1">
      <c r="B47" s="3"/>
      <c r="D47" s="62" t="str">
        <f t="shared" si="9"/>
        <v/>
      </c>
      <c r="E47" s="3"/>
      <c r="F47" s="3" t="str">
        <f t="shared" si="3"/>
        <v/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 t="str">
        <f t="shared" ref="AC47:AD47" si="36">IF(OR(AC$14="",$E47=""),"",AB47)</f>
        <v/>
      </c>
      <c r="AD47" s="3" t="str">
        <f t="shared" si="36"/>
        <v/>
      </c>
    </row>
    <row r="48" ht="12.75" customHeight="1">
      <c r="B48" s="3"/>
      <c r="D48" s="62" t="str">
        <f t="shared" si="9"/>
        <v/>
      </c>
      <c r="E48" s="3"/>
      <c r="F48" s="3" t="str">
        <f t="shared" si="3"/>
        <v/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 t="str">
        <f t="shared" ref="AC48:AD48" si="37">IF(OR(AC$14="",$E48=""),"",AB48)</f>
        <v/>
      </c>
      <c r="AD48" s="3" t="str">
        <f t="shared" si="37"/>
        <v/>
      </c>
    </row>
    <row r="49" ht="12.75" customHeight="1">
      <c r="B49" s="3"/>
      <c r="D49" s="62" t="str">
        <f t="shared" si="9"/>
        <v/>
      </c>
      <c r="E49" s="3"/>
      <c r="F49" s="3" t="str">
        <f t="shared" si="3"/>
        <v/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 t="str">
        <f t="shared" ref="AC49:AD49" si="38">IF(OR(AC$14="",$E49=""),"",AB49)</f>
        <v/>
      </c>
      <c r="AD49" s="3" t="str">
        <f t="shared" si="38"/>
        <v/>
      </c>
    </row>
    <row r="50" ht="12.75" customHeight="1">
      <c r="B50" s="3"/>
      <c r="D50" s="62" t="str">
        <f t="shared" si="9"/>
        <v/>
      </c>
      <c r="E50" s="3"/>
      <c r="F50" s="3" t="str">
        <f t="shared" si="3"/>
        <v/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 t="str">
        <f t="shared" ref="AC50:AD50" si="39">IF(OR(AC$14="",$E50=""),"",AB50)</f>
        <v/>
      </c>
      <c r="AD50" s="3" t="str">
        <f t="shared" si="39"/>
        <v/>
      </c>
    </row>
    <row r="51" ht="12.75" customHeight="1">
      <c r="B51" s="3"/>
      <c r="D51" s="62" t="str">
        <f t="shared" si="9"/>
        <v/>
      </c>
      <c r="E51" s="3"/>
      <c r="F51" s="3" t="str">
        <f t="shared" si="3"/>
        <v/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 t="str">
        <f t="shared" ref="AC51:AD51" si="40">IF(OR(AC$14="",$E51=""),"",AB51)</f>
        <v/>
      </c>
      <c r="AD51" s="3" t="str">
        <f t="shared" si="40"/>
        <v/>
      </c>
    </row>
    <row r="52" ht="12.75" customHeight="1">
      <c r="B52" s="3"/>
      <c r="D52" s="62" t="str">
        <f t="shared" si="9"/>
        <v/>
      </c>
      <c r="E52" s="3"/>
      <c r="F52" s="3" t="str">
        <f t="shared" si="3"/>
        <v/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 t="str">
        <f t="shared" ref="AC52:AD52" si="41">IF(OR(AC$14="",$E52=""),"",AB52)</f>
        <v/>
      </c>
      <c r="AD52" s="3" t="str">
        <f t="shared" si="41"/>
        <v/>
      </c>
    </row>
    <row r="53" ht="12.75" customHeight="1">
      <c r="B53" s="3"/>
      <c r="D53" s="62" t="str">
        <f t="shared" si="9"/>
        <v/>
      </c>
      <c r="E53" s="3"/>
      <c r="F53" s="3" t="str">
        <f t="shared" si="3"/>
        <v/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 t="str">
        <f t="shared" ref="AC53:AD53" si="42">IF(OR(AC$14="",$E53=""),"",AB53)</f>
        <v/>
      </c>
      <c r="AD53" s="3" t="str">
        <f t="shared" si="42"/>
        <v/>
      </c>
    </row>
    <row r="54" ht="12.75" customHeight="1">
      <c r="B54" s="3"/>
      <c r="D54" s="62" t="str">
        <f t="shared" si="9"/>
        <v/>
      </c>
      <c r="E54" s="3"/>
      <c r="F54" s="3" t="str">
        <f t="shared" si="3"/>
        <v/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 t="str">
        <f t="shared" ref="AC54:AD54" si="43">IF(OR(AC$14="",$E54=""),"",AB54)</f>
        <v/>
      </c>
      <c r="AD54" s="3" t="str">
        <f t="shared" si="43"/>
        <v/>
      </c>
    </row>
    <row r="55" ht="12.75" customHeight="1">
      <c r="B55" s="3"/>
      <c r="D55" s="62" t="str">
        <f t="shared" si="9"/>
        <v/>
      </c>
      <c r="E55" s="3"/>
      <c r="F55" s="3" t="str">
        <f t="shared" si="3"/>
        <v/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 t="str">
        <f t="shared" ref="AC55:AD55" si="44">IF(OR(AC$14="",$E55=""),"",AB55)</f>
        <v/>
      </c>
      <c r="AD55" s="3" t="str">
        <f t="shared" si="44"/>
        <v/>
      </c>
    </row>
    <row r="56" ht="12.75" customHeight="1">
      <c r="B56" s="3"/>
      <c r="D56" s="62" t="str">
        <f t="shared" si="9"/>
        <v/>
      </c>
      <c r="E56" s="3"/>
      <c r="F56" s="3" t="str">
        <f t="shared" si="3"/>
        <v/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 t="str">
        <f t="shared" ref="AC56:AD56" si="45">IF(OR(AC$14="",$E56=""),"",AB56)</f>
        <v/>
      </c>
      <c r="AD56" s="3" t="str">
        <f t="shared" si="45"/>
        <v/>
      </c>
    </row>
    <row r="57" ht="12.75" customHeight="1">
      <c r="B57" s="3"/>
      <c r="D57" s="62" t="str">
        <f t="shared" si="9"/>
        <v/>
      </c>
      <c r="E57" s="3"/>
      <c r="F57" s="3" t="str">
        <f t="shared" si="3"/>
        <v/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 t="str">
        <f t="shared" ref="AC57:AD57" si="46">IF(OR(AC$14="",$E57=""),"",AB57)</f>
        <v/>
      </c>
      <c r="AD57" s="3" t="str">
        <f t="shared" si="46"/>
        <v/>
      </c>
    </row>
    <row r="58" ht="12.75" customHeight="1">
      <c r="B58" s="3"/>
      <c r="D58" s="62" t="str">
        <f t="shared" si="9"/>
        <v/>
      </c>
      <c r="E58" s="3"/>
      <c r="F58" s="3" t="str">
        <f t="shared" si="3"/>
        <v/>
      </c>
      <c r="G58" s="3" t="str">
        <f t="shared" ref="G58:AD58" si="47">IF(OR(G$14="",$E58=""),"",F58)</f>
        <v/>
      </c>
      <c r="H58" s="3" t="str">
        <f t="shared" si="47"/>
        <v/>
      </c>
      <c r="I58" s="3" t="str">
        <f t="shared" si="47"/>
        <v/>
      </c>
      <c r="J58" s="3" t="str">
        <f t="shared" si="47"/>
        <v/>
      </c>
      <c r="K58" s="3" t="str">
        <f t="shared" si="47"/>
        <v/>
      </c>
      <c r="L58" s="3" t="str">
        <f t="shared" si="47"/>
        <v/>
      </c>
      <c r="M58" s="3" t="str">
        <f t="shared" si="47"/>
        <v/>
      </c>
      <c r="N58" s="3" t="str">
        <f t="shared" si="47"/>
        <v/>
      </c>
      <c r="O58" s="3" t="str">
        <f t="shared" si="47"/>
        <v/>
      </c>
      <c r="P58" s="3" t="str">
        <f t="shared" si="47"/>
        <v/>
      </c>
      <c r="Q58" s="3" t="str">
        <f t="shared" si="47"/>
        <v/>
      </c>
      <c r="R58" s="3" t="str">
        <f t="shared" si="47"/>
        <v/>
      </c>
      <c r="S58" s="3" t="str">
        <f t="shared" si="47"/>
        <v/>
      </c>
      <c r="T58" s="3" t="str">
        <f t="shared" si="47"/>
        <v/>
      </c>
      <c r="U58" s="3" t="str">
        <f t="shared" si="47"/>
        <v/>
      </c>
      <c r="V58" s="3" t="str">
        <f t="shared" si="47"/>
        <v/>
      </c>
      <c r="W58" s="3" t="str">
        <f t="shared" si="47"/>
        <v/>
      </c>
      <c r="X58" s="3" t="str">
        <f t="shared" si="47"/>
        <v/>
      </c>
      <c r="Y58" s="3" t="str">
        <f t="shared" si="47"/>
        <v/>
      </c>
      <c r="Z58" s="3" t="str">
        <f t="shared" si="47"/>
        <v/>
      </c>
      <c r="AA58" s="3" t="str">
        <f t="shared" si="47"/>
        <v/>
      </c>
      <c r="AB58" s="3" t="str">
        <f t="shared" si="47"/>
        <v/>
      </c>
      <c r="AC58" s="3" t="str">
        <f t="shared" si="47"/>
        <v/>
      </c>
      <c r="AD58" s="3" t="str">
        <f t="shared" si="47"/>
        <v/>
      </c>
    </row>
    <row r="59" ht="12.75" customHeight="1">
      <c r="B59" s="3"/>
      <c r="D59" s="62" t="str">
        <f t="shared" si="9"/>
        <v/>
      </c>
      <c r="E59" s="3"/>
      <c r="F59" s="3" t="str">
        <f t="shared" si="3"/>
        <v/>
      </c>
      <c r="G59" s="3" t="str">
        <f t="shared" ref="G59:AD59" si="48">IF(OR(G$14="",$E59=""),"",F59)</f>
        <v/>
      </c>
      <c r="H59" s="3" t="str">
        <f t="shared" si="48"/>
        <v/>
      </c>
      <c r="I59" s="3" t="str">
        <f t="shared" si="48"/>
        <v/>
      </c>
      <c r="J59" s="3" t="str">
        <f t="shared" si="48"/>
        <v/>
      </c>
      <c r="K59" s="3" t="str">
        <f t="shared" si="48"/>
        <v/>
      </c>
      <c r="L59" s="3" t="str">
        <f t="shared" si="48"/>
        <v/>
      </c>
      <c r="M59" s="3" t="str">
        <f t="shared" si="48"/>
        <v/>
      </c>
      <c r="N59" s="3" t="str">
        <f t="shared" si="48"/>
        <v/>
      </c>
      <c r="O59" s="3" t="str">
        <f t="shared" si="48"/>
        <v/>
      </c>
      <c r="P59" s="3" t="str">
        <f t="shared" si="48"/>
        <v/>
      </c>
      <c r="Q59" s="3" t="str">
        <f t="shared" si="48"/>
        <v/>
      </c>
      <c r="R59" s="3" t="str">
        <f t="shared" si="48"/>
        <v/>
      </c>
      <c r="S59" s="3" t="str">
        <f t="shared" si="48"/>
        <v/>
      </c>
      <c r="T59" s="3" t="str">
        <f t="shared" si="48"/>
        <v/>
      </c>
      <c r="U59" s="3" t="str">
        <f t="shared" si="48"/>
        <v/>
      </c>
      <c r="V59" s="3" t="str">
        <f t="shared" si="48"/>
        <v/>
      </c>
      <c r="W59" s="3" t="str">
        <f t="shared" si="48"/>
        <v/>
      </c>
      <c r="X59" s="3" t="str">
        <f t="shared" si="48"/>
        <v/>
      </c>
      <c r="Y59" s="3" t="str">
        <f t="shared" si="48"/>
        <v/>
      </c>
      <c r="Z59" s="3" t="str">
        <f t="shared" si="48"/>
        <v/>
      </c>
      <c r="AA59" s="3" t="str">
        <f t="shared" si="48"/>
        <v/>
      </c>
      <c r="AB59" s="3" t="str">
        <f t="shared" si="48"/>
        <v/>
      </c>
      <c r="AC59" s="3" t="str">
        <f t="shared" si="48"/>
        <v/>
      </c>
      <c r="AD59" s="3" t="str">
        <f t="shared" si="48"/>
        <v/>
      </c>
    </row>
    <row r="60" ht="12.75" customHeight="1">
      <c r="B60" s="3"/>
      <c r="D60" s="62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</row>
    <row r="61" ht="12.75" customHeight="1">
      <c r="B61" s="3"/>
      <c r="D61" s="62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</row>
    <row r="62" ht="12.75" customHeight="1">
      <c r="B62" s="3"/>
      <c r="D62" s="62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</row>
    <row r="63" ht="12.75" customHeight="1">
      <c r="B63" s="3"/>
      <c r="D63" s="62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</row>
    <row r="64" ht="12.75" customHeight="1">
      <c r="B64" s="3"/>
      <c r="D64" s="62" t="str">
        <f>IF(A64&lt;&gt;"","Planned","")</f>
        <v/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</row>
    <row r="65" ht="12.75" customHeight="1">
      <c r="B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</row>
    <row r="66" ht="12.75" customHeight="1">
      <c r="B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</row>
    <row r="67" ht="12.75" customHeight="1">
      <c r="B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</row>
    <row r="68" ht="12.75" customHeight="1">
      <c r="B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</row>
    <row r="69" ht="12.75" customHeight="1">
      <c r="B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</row>
    <row r="70" ht="12.75" customHeight="1">
      <c r="B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</row>
    <row r="71" ht="12.75" customHeight="1">
      <c r="B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</row>
    <row r="72" ht="12.75" customHeight="1">
      <c r="B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</row>
    <row r="73" ht="12.75" customHeight="1">
      <c r="B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</row>
    <row r="74" ht="12.75" customHeight="1">
      <c r="B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</row>
    <row r="75" ht="12.75" customHeight="1">
      <c r="B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</row>
    <row r="76" ht="12.75" customHeight="1">
      <c r="B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</row>
    <row r="77" ht="12.75" customHeight="1">
      <c r="B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</row>
    <row r="78" ht="12.75" customHeight="1">
      <c r="B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</row>
    <row r="79" ht="12.75" customHeight="1">
      <c r="B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</row>
    <row r="80" ht="12.75" customHeight="1">
      <c r="B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</row>
    <row r="81" ht="12.75" customHeight="1">
      <c r="B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</row>
    <row r="82" ht="12.75" customHeight="1">
      <c r="B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</row>
    <row r="83" ht="12.75" customHeight="1">
      <c r="B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</row>
    <row r="84" ht="12.75" customHeight="1">
      <c r="B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</row>
    <row r="85" ht="12.75" customHeight="1">
      <c r="B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</row>
    <row r="86" ht="12.75" customHeight="1">
      <c r="B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</row>
    <row r="87" ht="12.75" customHeight="1">
      <c r="B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</row>
    <row r="88" ht="12.75" customHeight="1">
      <c r="B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</row>
    <row r="89" ht="12.75" customHeight="1">
      <c r="B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</row>
    <row r="90" ht="12.75" customHeight="1">
      <c r="B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</row>
    <row r="91" ht="12.75" customHeight="1">
      <c r="B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</row>
    <row r="92" ht="12.75" customHeight="1">
      <c r="B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</row>
    <row r="93" ht="12.75" customHeight="1">
      <c r="B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</row>
    <row r="94" ht="12.75" customHeight="1">
      <c r="B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</row>
    <row r="95" ht="12.75" customHeight="1">
      <c r="B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</row>
    <row r="96" ht="12.75" customHeight="1">
      <c r="B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</row>
    <row r="97" ht="12.75" customHeight="1">
      <c r="B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</row>
    <row r="98" ht="12.75" customHeight="1">
      <c r="B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</row>
    <row r="99" ht="12.75" customHeight="1">
      <c r="B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</row>
    <row r="100" ht="12.75" customHeight="1">
      <c r="B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</row>
    <row r="101" ht="12.75" customHeight="1">
      <c r="B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</row>
    <row r="102" ht="12.75" customHeight="1">
      <c r="B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</row>
    <row r="103" ht="12.75" customHeight="1">
      <c r="B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</row>
    <row r="104" ht="12.75" customHeight="1">
      <c r="B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</row>
    <row r="105" ht="12.75" customHeight="1">
      <c r="B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</row>
    <row r="106" ht="12.75" customHeight="1">
      <c r="B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</row>
    <row r="107" ht="12.75" customHeight="1">
      <c r="B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</row>
    <row r="108" ht="12.75" customHeight="1">
      <c r="B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</row>
    <row r="109" ht="12.75" customHeight="1">
      <c r="B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</row>
    <row r="110" ht="12.75" customHeight="1">
      <c r="B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</row>
    <row r="111" ht="12.75" customHeight="1">
      <c r="B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</row>
    <row r="112" ht="12.75" customHeight="1">
      <c r="B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</row>
    <row r="113" ht="12.75" customHeight="1">
      <c r="B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</row>
    <row r="114" ht="12.75" customHeight="1">
      <c r="B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</row>
    <row r="115" ht="12.75" customHeight="1">
      <c r="B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</row>
    <row r="116" ht="12.75" customHeight="1">
      <c r="B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</row>
    <row r="117" ht="12.75" customHeight="1">
      <c r="B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</row>
    <row r="118" ht="12.75" customHeight="1">
      <c r="B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</row>
    <row r="119" ht="12.75" customHeight="1">
      <c r="B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</row>
    <row r="120" ht="12.75" customHeight="1">
      <c r="B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</row>
    <row r="121" ht="12.75" customHeight="1">
      <c r="B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</row>
    <row r="122" ht="12.75" customHeight="1">
      <c r="B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</row>
    <row r="123" ht="12.75" customHeight="1">
      <c r="B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</row>
    <row r="124" ht="12.75" customHeight="1">
      <c r="B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</row>
    <row r="125" ht="12.75" customHeight="1">
      <c r="B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</row>
    <row r="126" ht="12.75" customHeight="1">
      <c r="B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</row>
    <row r="127" ht="12.75" customHeight="1">
      <c r="B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</row>
    <row r="128" ht="12.75" customHeight="1">
      <c r="B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</row>
    <row r="129" ht="12.75" customHeight="1">
      <c r="B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</row>
    <row r="130" ht="12.75" customHeight="1">
      <c r="B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</row>
    <row r="131" ht="12.75" customHeight="1">
      <c r="B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</row>
    <row r="132" ht="12.75" customHeight="1">
      <c r="B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</row>
    <row r="133" ht="12.75" customHeight="1">
      <c r="B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</row>
    <row r="134" ht="12.75" customHeight="1">
      <c r="B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</row>
    <row r="135" ht="12.75" customHeight="1">
      <c r="B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</row>
    <row r="136" ht="12.75" customHeight="1">
      <c r="B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</row>
    <row r="137" ht="12.75" customHeight="1">
      <c r="B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</row>
    <row r="138" ht="12.75" customHeight="1">
      <c r="B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</row>
    <row r="139" ht="12.75" customHeight="1">
      <c r="B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</row>
    <row r="140" ht="12.75" customHeight="1">
      <c r="B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</row>
    <row r="141" ht="12.75" customHeight="1">
      <c r="B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</row>
    <row r="142" ht="12.75" customHeight="1">
      <c r="B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</row>
    <row r="143" ht="12.75" customHeight="1">
      <c r="B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</row>
    <row r="144" ht="12.75" customHeight="1">
      <c r="B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</row>
    <row r="145" ht="12.75" customHeight="1">
      <c r="B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</row>
    <row r="146" ht="12.75" customHeight="1">
      <c r="B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</row>
    <row r="147" ht="12.75" customHeight="1">
      <c r="B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</row>
    <row r="148" ht="12.75" customHeight="1">
      <c r="B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</row>
    <row r="149" ht="12.75" customHeight="1">
      <c r="B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</row>
    <row r="150" ht="12.75" customHeight="1">
      <c r="B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</row>
    <row r="151" ht="12.75" customHeight="1">
      <c r="B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</row>
    <row r="152" ht="12.75" customHeight="1">
      <c r="B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</row>
    <row r="153" ht="12.75" customHeight="1">
      <c r="B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</row>
    <row r="154" ht="12.75" customHeight="1">
      <c r="B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</row>
    <row r="155" ht="12.75" customHeight="1">
      <c r="B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</row>
    <row r="156" ht="12.75" customHeight="1">
      <c r="B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</row>
    <row r="157" ht="12.75" customHeight="1">
      <c r="B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</row>
    <row r="158" ht="12.75" customHeight="1">
      <c r="B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</row>
    <row r="159" ht="12.75" customHeight="1">
      <c r="B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</row>
    <row r="160" ht="12.75" customHeight="1">
      <c r="B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</row>
    <row r="161" ht="12.75" customHeight="1">
      <c r="B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</row>
    <row r="162" ht="12.75" customHeight="1">
      <c r="B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</row>
    <row r="163" ht="12.75" customHeight="1">
      <c r="B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</row>
    <row r="164" ht="12.75" customHeight="1">
      <c r="B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</row>
    <row r="165" ht="12.75" customHeight="1">
      <c r="B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</row>
    <row r="166" ht="12.75" customHeight="1">
      <c r="B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</row>
    <row r="167" ht="12.75" customHeight="1">
      <c r="B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</row>
    <row r="168" ht="12.75" customHeight="1">
      <c r="B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</row>
    <row r="169" ht="12.75" customHeight="1">
      <c r="B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</row>
    <row r="170" ht="12.75" customHeight="1">
      <c r="B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</row>
    <row r="171" ht="12.75" customHeight="1">
      <c r="B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</row>
    <row r="172" ht="12.75" customHeight="1">
      <c r="B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</row>
    <row r="173" ht="12.75" customHeight="1">
      <c r="B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</row>
    <row r="174" ht="12.75" customHeight="1">
      <c r="B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</row>
    <row r="175" ht="12.75" customHeight="1">
      <c r="B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</row>
    <row r="176" ht="12.75" customHeight="1">
      <c r="B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</row>
    <row r="177" ht="12.75" customHeight="1">
      <c r="B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</row>
    <row r="178" ht="12.75" customHeight="1">
      <c r="B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</row>
    <row r="179" ht="12.75" customHeight="1">
      <c r="B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</row>
    <row r="180" ht="12.75" customHeight="1">
      <c r="B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</row>
    <row r="181" ht="12.75" customHeight="1">
      <c r="B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</row>
    <row r="182" ht="12.75" customHeight="1">
      <c r="B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</row>
    <row r="183" ht="12.75" customHeight="1">
      <c r="B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</row>
    <row r="184" ht="12.75" customHeight="1">
      <c r="B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</row>
    <row r="185" ht="12.75" customHeight="1">
      <c r="B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</row>
    <row r="186" ht="12.75" customHeight="1">
      <c r="B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</row>
    <row r="187" ht="12.75" customHeight="1">
      <c r="B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</row>
    <row r="188" ht="12.75" customHeight="1">
      <c r="B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</row>
    <row r="189" ht="12.75" customHeight="1">
      <c r="B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</row>
    <row r="190" ht="12.75" customHeight="1">
      <c r="B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</row>
    <row r="191" ht="12.75" customHeight="1">
      <c r="B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</row>
    <row r="192" ht="12.75" customHeight="1">
      <c r="B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</row>
    <row r="193" ht="12.75" customHeight="1">
      <c r="B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</row>
    <row r="194" ht="12.75" customHeight="1">
      <c r="B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</row>
    <row r="195" ht="12.75" customHeight="1">
      <c r="B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</row>
    <row r="196" ht="12.75" customHeight="1">
      <c r="B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</row>
    <row r="197" ht="12.75" customHeight="1">
      <c r="B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</row>
    <row r="198" ht="12.75" customHeight="1">
      <c r="B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</row>
    <row r="199" ht="12.75" customHeight="1">
      <c r="B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</row>
    <row r="200" ht="12.75" customHeight="1">
      <c r="B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</row>
    <row r="201" ht="12.75" customHeight="1">
      <c r="B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</row>
    <row r="202" ht="12.75" customHeight="1">
      <c r="B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</row>
    <row r="203" ht="12.75" customHeight="1">
      <c r="B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</row>
    <row r="204" ht="12.75" customHeight="1">
      <c r="B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</row>
    <row r="205" ht="12.75" customHeight="1">
      <c r="B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</row>
    <row r="206" ht="12.75" customHeight="1">
      <c r="B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</row>
    <row r="207" ht="12.75" customHeight="1">
      <c r="B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</row>
    <row r="208" ht="12.75" customHeight="1">
      <c r="B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</row>
    <row r="209" ht="12.75" customHeight="1">
      <c r="B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</row>
    <row r="210" ht="12.75" customHeight="1">
      <c r="B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</row>
    <row r="211" ht="12.75" customHeight="1">
      <c r="B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</row>
    <row r="212" ht="12.75" customHeight="1">
      <c r="B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</row>
    <row r="213" ht="12.75" customHeight="1">
      <c r="B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</row>
    <row r="214" ht="12.75" customHeight="1">
      <c r="B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</row>
    <row r="215" ht="12.75" customHeight="1">
      <c r="B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</row>
    <row r="216" ht="12.75" customHeight="1">
      <c r="B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</row>
    <row r="217" ht="12.75" customHeight="1">
      <c r="B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</row>
    <row r="218" ht="12.75" customHeight="1">
      <c r="B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</row>
    <row r="219" ht="12.75" customHeight="1">
      <c r="B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</row>
    <row r="220" ht="12.75" customHeight="1">
      <c r="B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</row>
    <row r="221" ht="12.75" customHeight="1">
      <c r="B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</row>
    <row r="222" ht="12.75" customHeight="1">
      <c r="B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</row>
    <row r="223" ht="12.75" customHeight="1">
      <c r="B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</row>
    <row r="224" ht="12.75" customHeight="1">
      <c r="B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</row>
    <row r="225" ht="12.75" customHeight="1">
      <c r="B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</row>
    <row r="226" ht="12.75" customHeight="1">
      <c r="B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</row>
    <row r="227" ht="12.75" customHeight="1">
      <c r="B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</row>
    <row r="228" ht="12.75" customHeight="1">
      <c r="B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</row>
    <row r="229" ht="12.75" customHeight="1">
      <c r="B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</row>
    <row r="230" ht="12.75" customHeight="1">
      <c r="B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</row>
    <row r="231" ht="12.75" customHeight="1">
      <c r="B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</row>
    <row r="232" ht="12.75" customHeight="1">
      <c r="B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</row>
    <row r="233" ht="12.75" customHeight="1">
      <c r="B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</row>
    <row r="234" ht="12.75" customHeight="1">
      <c r="B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</row>
    <row r="235" ht="12.75" customHeight="1">
      <c r="B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</row>
    <row r="236" ht="12.75" customHeight="1">
      <c r="B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</row>
    <row r="237" ht="12.75" customHeight="1">
      <c r="B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</row>
    <row r="238" ht="12.75" customHeight="1">
      <c r="B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</row>
    <row r="239" ht="12.75" customHeight="1">
      <c r="B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</row>
    <row r="240" ht="12.75" customHeight="1">
      <c r="B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</row>
    <row r="241" ht="12.75" customHeight="1">
      <c r="B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</row>
    <row r="242" ht="12.75" customHeight="1">
      <c r="B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</row>
    <row r="243" ht="12.75" customHeight="1">
      <c r="B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</row>
    <row r="244" ht="12.75" customHeight="1">
      <c r="B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</row>
    <row r="245" ht="12.75" customHeight="1">
      <c r="B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</row>
    <row r="246" ht="12.75" customHeight="1">
      <c r="B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</row>
    <row r="247" ht="12.75" customHeight="1">
      <c r="B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</row>
    <row r="248" ht="12.75" customHeight="1">
      <c r="B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</row>
    <row r="249" ht="12.75" customHeight="1">
      <c r="B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</row>
    <row r="250" ht="12.75" customHeight="1">
      <c r="B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</row>
    <row r="251" ht="12.75" customHeight="1">
      <c r="B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</row>
    <row r="252" ht="12.75" customHeight="1">
      <c r="B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</row>
    <row r="253" ht="12.75" customHeight="1">
      <c r="B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</row>
    <row r="254" ht="12.75" customHeight="1">
      <c r="B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</row>
    <row r="255" ht="12.75" customHeight="1">
      <c r="B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</row>
    <row r="256" ht="12.75" customHeight="1">
      <c r="B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</row>
    <row r="257" ht="12.75" customHeight="1">
      <c r="B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</row>
    <row r="258" ht="12.75" customHeight="1">
      <c r="B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</row>
    <row r="259" ht="12.75" customHeight="1">
      <c r="B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</row>
    <row r="260" ht="12.75" customHeight="1">
      <c r="B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</row>
    <row r="261" ht="12.75" customHeight="1">
      <c r="B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</row>
    <row r="262" ht="12.75" customHeight="1">
      <c r="B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</row>
    <row r="263" ht="12.75" customHeight="1">
      <c r="B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</row>
    <row r="264" ht="12.75" customHeight="1">
      <c r="B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</row>
    <row r="265" ht="12.75" customHeight="1">
      <c r="B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</row>
    <row r="266" ht="12.75" customHeight="1">
      <c r="B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</row>
    <row r="267" ht="12.75" customHeight="1">
      <c r="B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</row>
    <row r="268" ht="12.75" customHeight="1">
      <c r="B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</row>
    <row r="269" ht="12.75" customHeight="1">
      <c r="B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</row>
    <row r="270" ht="12.75" customHeight="1">
      <c r="B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</row>
    <row r="271" ht="12.75" customHeight="1">
      <c r="B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</row>
    <row r="272" ht="12.75" customHeight="1">
      <c r="B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</row>
    <row r="273" ht="12.75" customHeight="1">
      <c r="B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</row>
    <row r="274" ht="12.75" customHeight="1">
      <c r="B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</row>
    <row r="275" ht="12.75" customHeight="1">
      <c r="B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</row>
    <row r="276" ht="12.75" customHeight="1">
      <c r="B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</row>
    <row r="277" ht="12.75" customHeight="1">
      <c r="B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</row>
    <row r="278" ht="12.75" customHeight="1">
      <c r="B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</row>
    <row r="279" ht="12.75" customHeight="1">
      <c r="B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</row>
    <row r="280" ht="12.75" customHeight="1">
      <c r="B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</row>
    <row r="281" ht="12.75" customHeight="1">
      <c r="B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</row>
    <row r="282" ht="12.75" customHeight="1">
      <c r="B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</row>
    <row r="283" ht="12.75" customHeight="1">
      <c r="B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</row>
    <row r="284" ht="12.75" customHeight="1">
      <c r="B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</row>
    <row r="285" ht="12.75" customHeight="1">
      <c r="B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</row>
    <row r="286" ht="12.75" customHeight="1">
      <c r="B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</row>
    <row r="287" ht="12.75" customHeight="1">
      <c r="B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</row>
    <row r="288" ht="12.75" customHeight="1">
      <c r="B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</row>
    <row r="289" ht="12.75" customHeight="1">
      <c r="B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</row>
    <row r="290" ht="12.75" customHeight="1">
      <c r="B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</row>
    <row r="291" ht="12.75" customHeight="1">
      <c r="B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</row>
    <row r="292" ht="12.75" customHeight="1">
      <c r="B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</row>
    <row r="293" ht="12.75" customHeight="1">
      <c r="B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</row>
    <row r="294" ht="12.75" customHeight="1">
      <c r="B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</row>
    <row r="295" ht="12.75" customHeight="1">
      <c r="B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</row>
    <row r="296" ht="12.75" customHeight="1">
      <c r="B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</row>
    <row r="297" ht="12.75" customHeight="1">
      <c r="B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</row>
    <row r="298" ht="12.75" customHeight="1">
      <c r="B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</row>
    <row r="299" ht="12.75" customHeight="1">
      <c r="B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</row>
    <row r="300" ht="12.75" customHeight="1">
      <c r="B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</row>
    <row r="301" ht="12.75" customHeight="1">
      <c r="B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</row>
    <row r="302" ht="12.75" customHeight="1">
      <c r="B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</row>
    <row r="303" ht="12.75" customHeight="1">
      <c r="B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</row>
    <row r="304" ht="12.75" customHeight="1">
      <c r="B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</row>
    <row r="305" ht="12.75" customHeight="1">
      <c r="B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</row>
    <row r="306" ht="12.75" customHeight="1">
      <c r="B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</row>
    <row r="307" ht="12.75" customHeight="1">
      <c r="B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</row>
    <row r="308" ht="12.75" customHeight="1">
      <c r="B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</row>
    <row r="309" ht="12.75" customHeight="1">
      <c r="B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</row>
    <row r="310" ht="12.75" customHeight="1">
      <c r="B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</row>
    <row r="311" ht="12.75" customHeight="1">
      <c r="B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</row>
    <row r="312" ht="12.75" customHeight="1">
      <c r="B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</row>
    <row r="313" ht="12.75" customHeight="1">
      <c r="B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</row>
    <row r="314" ht="12.75" customHeight="1">
      <c r="B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</row>
    <row r="315" ht="12.75" customHeight="1">
      <c r="B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</row>
    <row r="316" ht="12.75" customHeight="1">
      <c r="B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</row>
    <row r="317" ht="12.75" customHeight="1">
      <c r="B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</row>
    <row r="318" ht="12.75" customHeight="1">
      <c r="B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</row>
    <row r="319" ht="12.75" customHeight="1">
      <c r="B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</row>
    <row r="320" ht="12.75" customHeight="1">
      <c r="B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</row>
    <row r="321" ht="12.75" customHeight="1">
      <c r="B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</row>
    <row r="322" ht="12.75" customHeight="1">
      <c r="B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</row>
    <row r="323" ht="12.75" customHeight="1">
      <c r="B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</row>
    <row r="324" ht="12.75" customHeight="1">
      <c r="B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</row>
    <row r="325" ht="12.75" customHeight="1">
      <c r="B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</row>
    <row r="326" ht="12.75" customHeight="1">
      <c r="B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</row>
    <row r="327" ht="12.75" customHeight="1">
      <c r="B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</row>
    <row r="328" ht="12.75" customHeight="1">
      <c r="B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</row>
    <row r="329" ht="12.75" customHeight="1">
      <c r="B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</row>
    <row r="330" ht="12.75" customHeight="1">
      <c r="B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</row>
    <row r="331" ht="12.75" customHeight="1">
      <c r="B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</row>
    <row r="332" ht="12.75" customHeight="1">
      <c r="B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</row>
    <row r="333" ht="12.75" customHeight="1">
      <c r="B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</row>
    <row r="334" ht="12.75" customHeight="1">
      <c r="B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</row>
    <row r="335" ht="12.75" customHeight="1">
      <c r="B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</row>
    <row r="336" ht="12.75" customHeight="1">
      <c r="B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</row>
    <row r="337" ht="12.75" customHeight="1">
      <c r="B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</row>
    <row r="338" ht="12.75" customHeight="1">
      <c r="B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</row>
    <row r="339" ht="12.75" customHeight="1">
      <c r="B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</row>
    <row r="340" ht="12.75" customHeight="1">
      <c r="B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</row>
    <row r="341" ht="12.75" customHeight="1">
      <c r="B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</row>
    <row r="342" ht="12.75" customHeight="1">
      <c r="B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</row>
    <row r="343" ht="12.75" customHeight="1">
      <c r="B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</row>
    <row r="344" ht="12.75" customHeight="1">
      <c r="B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</row>
    <row r="345" ht="12.75" customHeight="1">
      <c r="B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</row>
    <row r="346" ht="12.75" customHeight="1">
      <c r="B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</row>
    <row r="347" ht="12.75" customHeight="1">
      <c r="B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</row>
    <row r="348" ht="12.75" customHeight="1">
      <c r="B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</row>
    <row r="349" ht="12.75" customHeight="1">
      <c r="B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</row>
    <row r="350" ht="12.75" customHeight="1">
      <c r="B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</row>
    <row r="351" ht="12.75" customHeight="1">
      <c r="B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</row>
    <row r="352" ht="12.75" customHeight="1">
      <c r="B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</row>
    <row r="353" ht="12.75" customHeight="1">
      <c r="B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</row>
    <row r="354" ht="12.75" customHeight="1">
      <c r="B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</row>
    <row r="355" ht="12.75" customHeight="1">
      <c r="B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</row>
    <row r="356" ht="12.75" customHeight="1">
      <c r="B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</row>
    <row r="357" ht="12.75" customHeight="1">
      <c r="B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</row>
    <row r="358" ht="12.75" customHeight="1">
      <c r="B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</row>
    <row r="359" ht="12.75" customHeight="1">
      <c r="B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</row>
    <row r="360" ht="12.75" customHeight="1">
      <c r="B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</row>
    <row r="361" ht="12.75" customHeight="1">
      <c r="B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</row>
    <row r="362" ht="12.75" customHeight="1">
      <c r="B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</row>
    <row r="363" ht="12.75" customHeight="1">
      <c r="B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</row>
    <row r="364" ht="12.75" customHeight="1">
      <c r="B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</row>
    <row r="365" ht="12.75" customHeight="1">
      <c r="B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</row>
    <row r="366" ht="12.75" customHeight="1">
      <c r="B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</row>
    <row r="367" ht="12.75" customHeight="1">
      <c r="B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</row>
    <row r="368" ht="12.75" customHeight="1">
      <c r="B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</row>
    <row r="369" ht="12.75" customHeight="1">
      <c r="B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</row>
    <row r="370" ht="12.75" customHeight="1">
      <c r="B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</row>
    <row r="371" ht="12.75" customHeight="1">
      <c r="B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</row>
    <row r="372" ht="12.75" customHeight="1">
      <c r="B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</row>
    <row r="373" ht="12.75" customHeight="1">
      <c r="B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</row>
    <row r="374" ht="12.75" customHeight="1">
      <c r="B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</row>
    <row r="375" ht="12.75" customHeight="1">
      <c r="B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</row>
    <row r="376" ht="12.75" customHeight="1">
      <c r="B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</row>
    <row r="377" ht="12.75" customHeight="1">
      <c r="B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</row>
    <row r="378" ht="12.75" customHeight="1">
      <c r="B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</row>
    <row r="379" ht="12.75" customHeight="1">
      <c r="B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</row>
    <row r="380" ht="12.75" customHeight="1">
      <c r="B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</row>
    <row r="381" ht="12.75" customHeight="1">
      <c r="B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</row>
    <row r="382" ht="12.75" customHeight="1">
      <c r="B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</row>
    <row r="383" ht="12.75" customHeight="1">
      <c r="B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</row>
    <row r="384" ht="12.75" customHeight="1">
      <c r="B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</row>
    <row r="385" ht="12.75" customHeight="1">
      <c r="B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</row>
    <row r="386" ht="12.75" customHeight="1">
      <c r="B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</row>
    <row r="387" ht="12.75" customHeight="1">
      <c r="B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</row>
    <row r="388" ht="12.75" customHeight="1">
      <c r="B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</row>
    <row r="389" ht="12.75" customHeight="1">
      <c r="B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</row>
    <row r="390" ht="12.75" customHeight="1">
      <c r="B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</row>
    <row r="391" ht="12.75" customHeight="1">
      <c r="B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</row>
    <row r="392" ht="12.75" customHeight="1">
      <c r="B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</row>
    <row r="393" ht="12.75" customHeight="1">
      <c r="B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</row>
    <row r="394" ht="12.75" customHeight="1">
      <c r="B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</row>
    <row r="395" ht="12.75" customHeight="1">
      <c r="B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</row>
    <row r="396" ht="12.75" customHeight="1">
      <c r="B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</row>
    <row r="397" ht="12.75" customHeight="1">
      <c r="B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</row>
    <row r="398" ht="12.75" customHeight="1">
      <c r="B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</row>
    <row r="399" ht="12.75" customHeight="1">
      <c r="B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</row>
    <row r="400" ht="12.75" customHeight="1">
      <c r="B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</row>
    <row r="401" ht="12.75" customHeight="1">
      <c r="B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</row>
    <row r="402" ht="12.75" customHeight="1">
      <c r="B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</row>
    <row r="403" ht="12.75" customHeight="1">
      <c r="B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</row>
    <row r="404" ht="12.75" customHeight="1">
      <c r="B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</row>
    <row r="405" ht="12.75" customHeight="1">
      <c r="B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</row>
    <row r="406" ht="12.75" customHeight="1">
      <c r="B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</row>
    <row r="407" ht="12.75" customHeight="1">
      <c r="B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</row>
    <row r="408" ht="12.75" customHeight="1">
      <c r="B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</row>
    <row r="409" ht="12.75" customHeight="1">
      <c r="B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</row>
    <row r="410" ht="12.75" customHeight="1">
      <c r="B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</row>
    <row r="411" ht="12.75" customHeight="1">
      <c r="B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</row>
    <row r="412" ht="12.75" customHeight="1">
      <c r="B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</row>
    <row r="413" ht="12.75" customHeight="1">
      <c r="B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</row>
    <row r="414" ht="12.75" customHeight="1">
      <c r="B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</row>
    <row r="415" ht="12.75" customHeight="1">
      <c r="B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</row>
    <row r="416" ht="12.75" customHeight="1">
      <c r="B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</row>
    <row r="417" ht="12.75" customHeight="1">
      <c r="B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</row>
    <row r="418" ht="12.75" customHeight="1">
      <c r="B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</row>
    <row r="419" ht="12.75" customHeight="1">
      <c r="B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</row>
    <row r="420" ht="12.75" customHeight="1">
      <c r="B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</row>
    <row r="421" ht="12.75" customHeight="1">
      <c r="B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</row>
    <row r="422" ht="12.75" customHeight="1">
      <c r="B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</row>
    <row r="423" ht="12.75" customHeight="1">
      <c r="B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</row>
    <row r="424" ht="12.75" customHeight="1">
      <c r="B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</row>
    <row r="425" ht="12.75" customHeight="1">
      <c r="B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</row>
    <row r="426" ht="12.75" customHeight="1">
      <c r="B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</row>
    <row r="427" ht="12.75" customHeight="1">
      <c r="B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</row>
    <row r="428" ht="12.75" customHeight="1">
      <c r="B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</row>
    <row r="429" ht="12.75" customHeight="1">
      <c r="B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</row>
    <row r="430" ht="12.75" customHeight="1">
      <c r="B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</row>
    <row r="431" ht="12.75" customHeight="1">
      <c r="B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</row>
    <row r="432" ht="12.75" customHeight="1">
      <c r="B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</row>
    <row r="433" ht="12.75" customHeight="1">
      <c r="B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</row>
    <row r="434" ht="12.75" customHeight="1">
      <c r="B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</row>
    <row r="435" ht="12.75" customHeight="1">
      <c r="B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</row>
    <row r="436" ht="12.75" customHeight="1">
      <c r="B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</row>
    <row r="437" ht="12.75" customHeight="1">
      <c r="B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</row>
    <row r="438" ht="12.75" customHeight="1">
      <c r="B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</row>
    <row r="439" ht="12.75" customHeight="1">
      <c r="B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</row>
    <row r="440" ht="12.75" customHeight="1">
      <c r="B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</row>
    <row r="441" ht="12.75" customHeight="1">
      <c r="B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</row>
    <row r="442" ht="12.75" customHeight="1">
      <c r="B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</row>
    <row r="443" ht="12.75" customHeight="1">
      <c r="B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</row>
    <row r="444" ht="12.75" customHeight="1">
      <c r="B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</row>
    <row r="445" ht="12.75" customHeight="1">
      <c r="B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</row>
    <row r="446" ht="12.75" customHeight="1">
      <c r="B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</row>
    <row r="447" ht="12.75" customHeight="1">
      <c r="B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</row>
    <row r="448" ht="12.75" customHeight="1">
      <c r="B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</row>
    <row r="449" ht="12.75" customHeight="1">
      <c r="B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</row>
    <row r="450" ht="12.75" customHeight="1">
      <c r="B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</row>
    <row r="451" ht="12.75" customHeight="1">
      <c r="B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</row>
    <row r="452" ht="12.75" customHeight="1">
      <c r="B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</row>
    <row r="453" ht="12.75" customHeight="1">
      <c r="B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</row>
    <row r="454" ht="12.75" customHeight="1">
      <c r="B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</row>
    <row r="455" ht="12.75" customHeight="1">
      <c r="B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</row>
    <row r="456" ht="12.75" customHeight="1">
      <c r="B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</row>
    <row r="457" ht="12.75" customHeight="1">
      <c r="B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</row>
    <row r="458" ht="12.75" customHeight="1">
      <c r="B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</row>
    <row r="459" ht="12.75" customHeight="1">
      <c r="B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</row>
    <row r="460" ht="12.75" customHeight="1">
      <c r="B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</row>
    <row r="461" ht="12.75" customHeight="1">
      <c r="B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</row>
    <row r="462" ht="12.75" customHeight="1">
      <c r="B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</row>
    <row r="463" ht="12.75" customHeight="1">
      <c r="B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</row>
    <row r="464" ht="12.75" customHeight="1">
      <c r="B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</row>
    <row r="465" ht="12.75" customHeight="1">
      <c r="B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</row>
    <row r="466" ht="12.75" customHeight="1">
      <c r="B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</row>
    <row r="467" ht="12.75" customHeight="1">
      <c r="B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</row>
    <row r="468" ht="12.75" customHeight="1">
      <c r="B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</row>
    <row r="469" ht="12.75" customHeight="1">
      <c r="B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</row>
    <row r="470" ht="12.75" customHeight="1">
      <c r="B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</row>
    <row r="471" ht="12.75" customHeight="1">
      <c r="B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</row>
    <row r="472" ht="12.75" customHeight="1">
      <c r="B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</row>
    <row r="473" ht="12.75" customHeight="1">
      <c r="B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</row>
    <row r="474" ht="12.75" customHeight="1">
      <c r="B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</row>
    <row r="475" ht="12.75" customHeight="1">
      <c r="B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</row>
    <row r="476" ht="12.75" customHeight="1">
      <c r="B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</row>
    <row r="477" ht="12.75" customHeight="1">
      <c r="B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</row>
    <row r="478" ht="12.75" customHeight="1">
      <c r="B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</row>
    <row r="479" ht="12.75" customHeight="1">
      <c r="B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</row>
    <row r="480" ht="12.75" customHeight="1">
      <c r="B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</row>
    <row r="481" ht="12.75" customHeight="1">
      <c r="B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</row>
    <row r="482" ht="12.75" customHeight="1">
      <c r="B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</row>
    <row r="483" ht="12.75" customHeight="1">
      <c r="B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</row>
    <row r="484" ht="12.75" customHeight="1">
      <c r="B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</row>
    <row r="485" ht="12.75" customHeight="1">
      <c r="B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</row>
    <row r="486" ht="12.75" customHeight="1">
      <c r="B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</row>
    <row r="487" ht="12.75" customHeight="1">
      <c r="B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</row>
    <row r="488" ht="12.75" customHeight="1">
      <c r="B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</row>
    <row r="489" ht="12.75" customHeight="1">
      <c r="B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</row>
    <row r="490" ht="12.75" customHeight="1">
      <c r="B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</row>
    <row r="491" ht="12.75" customHeight="1">
      <c r="B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</row>
    <row r="492" ht="12.75" customHeight="1">
      <c r="B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</row>
    <row r="493" ht="12.75" customHeight="1">
      <c r="B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</row>
    <row r="494" ht="12.75" customHeight="1">
      <c r="B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</row>
    <row r="495" ht="12.75" customHeight="1">
      <c r="B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</row>
    <row r="496" ht="12.75" customHeight="1">
      <c r="B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</row>
    <row r="497" ht="12.75" customHeight="1">
      <c r="B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</row>
    <row r="498" ht="12.75" customHeight="1">
      <c r="B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</row>
    <row r="499" ht="12.75" customHeight="1">
      <c r="B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</row>
    <row r="500" ht="12.75" customHeight="1">
      <c r="B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</row>
    <row r="501" ht="12.75" customHeight="1">
      <c r="B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</row>
    <row r="502" ht="12.75" customHeight="1">
      <c r="B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</row>
    <row r="503" ht="12.75" customHeight="1">
      <c r="B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</row>
    <row r="504" ht="12.75" customHeight="1">
      <c r="B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</row>
    <row r="505" ht="12.75" customHeight="1">
      <c r="B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</row>
    <row r="506" ht="12.75" customHeight="1">
      <c r="B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</row>
    <row r="507" ht="12.75" customHeight="1">
      <c r="B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</row>
    <row r="508" ht="12.75" customHeight="1">
      <c r="B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</row>
    <row r="509" ht="12.75" customHeight="1">
      <c r="B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</row>
    <row r="510" ht="12.75" customHeight="1">
      <c r="B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</row>
    <row r="511" ht="12.75" customHeight="1">
      <c r="B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</row>
    <row r="512" ht="12.75" customHeight="1">
      <c r="B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</row>
    <row r="513" ht="12.75" customHeight="1">
      <c r="B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</row>
    <row r="514" ht="12.75" customHeight="1">
      <c r="B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</row>
    <row r="515" ht="12.75" customHeight="1">
      <c r="B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</row>
    <row r="516" ht="12.75" customHeight="1">
      <c r="B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</row>
    <row r="517" ht="12.75" customHeight="1">
      <c r="B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</row>
    <row r="518" ht="12.75" customHeight="1">
      <c r="B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</row>
    <row r="519" ht="12.75" customHeight="1">
      <c r="B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</row>
    <row r="520" ht="12.75" customHeight="1">
      <c r="B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</row>
    <row r="521" ht="12.75" customHeight="1">
      <c r="B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</row>
    <row r="522" ht="12.75" customHeight="1">
      <c r="B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</row>
    <row r="523" ht="12.75" customHeight="1">
      <c r="B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</row>
    <row r="524" ht="12.75" customHeight="1">
      <c r="B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</row>
    <row r="525" ht="12.75" customHeight="1">
      <c r="B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</row>
    <row r="526" ht="12.75" customHeight="1">
      <c r="B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</row>
    <row r="527" ht="12.75" customHeight="1">
      <c r="B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</row>
    <row r="528" ht="12.75" customHeight="1">
      <c r="B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</row>
    <row r="529" ht="12.75" customHeight="1">
      <c r="B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</row>
    <row r="530" ht="12.75" customHeight="1">
      <c r="B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</row>
    <row r="531" ht="12.75" customHeight="1">
      <c r="B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</row>
    <row r="532" ht="12.75" customHeight="1">
      <c r="B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</row>
    <row r="533" ht="12.75" customHeight="1">
      <c r="B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</row>
    <row r="534" ht="12.75" customHeight="1">
      <c r="B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</row>
    <row r="535" ht="12.75" customHeight="1">
      <c r="B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</row>
    <row r="536" ht="12.75" customHeight="1">
      <c r="B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</row>
    <row r="537" ht="12.75" customHeight="1">
      <c r="B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</row>
    <row r="538" ht="12.75" customHeight="1">
      <c r="B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</row>
    <row r="539" ht="12.75" customHeight="1">
      <c r="B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</row>
    <row r="540" ht="12.75" customHeight="1">
      <c r="B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</row>
    <row r="541" ht="12.75" customHeight="1">
      <c r="B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</row>
    <row r="542" ht="12.75" customHeight="1">
      <c r="B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</row>
    <row r="543" ht="12.75" customHeight="1">
      <c r="B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</row>
    <row r="544" ht="12.75" customHeight="1">
      <c r="B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</row>
    <row r="545" ht="12.75" customHeight="1">
      <c r="B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</row>
    <row r="546" ht="12.75" customHeight="1">
      <c r="B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</row>
    <row r="547" ht="12.75" customHeight="1">
      <c r="B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</row>
    <row r="548" ht="12.75" customHeight="1">
      <c r="B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</row>
    <row r="549" ht="12.75" customHeight="1">
      <c r="B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</row>
    <row r="550" ht="12.75" customHeight="1">
      <c r="B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</row>
    <row r="551" ht="12.75" customHeight="1">
      <c r="B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</row>
    <row r="552" ht="12.75" customHeight="1">
      <c r="B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</row>
    <row r="553" ht="12.75" customHeight="1">
      <c r="B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</row>
    <row r="554" ht="12.75" customHeight="1">
      <c r="B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</row>
    <row r="555" ht="12.75" customHeight="1">
      <c r="B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</row>
    <row r="556" ht="12.75" customHeight="1">
      <c r="B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</row>
    <row r="557" ht="12.75" customHeight="1">
      <c r="B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</row>
    <row r="558" ht="12.75" customHeight="1">
      <c r="B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</row>
    <row r="559" ht="12.75" customHeight="1">
      <c r="B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</row>
    <row r="560" ht="12.75" customHeight="1">
      <c r="B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</row>
    <row r="561" ht="12.75" customHeight="1">
      <c r="B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</row>
    <row r="562" ht="12.75" customHeight="1">
      <c r="B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</row>
    <row r="563" ht="12.75" customHeight="1">
      <c r="B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</row>
    <row r="564" ht="12.75" customHeight="1">
      <c r="B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</row>
    <row r="565" ht="12.75" customHeight="1">
      <c r="B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</row>
    <row r="566" ht="12.75" customHeight="1">
      <c r="B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</row>
    <row r="567" ht="12.75" customHeight="1">
      <c r="B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</row>
    <row r="568" ht="12.75" customHeight="1">
      <c r="B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</row>
    <row r="569" ht="12.75" customHeight="1">
      <c r="B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</row>
    <row r="570" ht="12.75" customHeight="1">
      <c r="B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</row>
    <row r="571" ht="12.75" customHeight="1">
      <c r="B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</row>
    <row r="572" ht="12.75" customHeight="1">
      <c r="B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</row>
    <row r="573" ht="12.75" customHeight="1">
      <c r="B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</row>
    <row r="574" ht="12.75" customHeight="1">
      <c r="B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</row>
    <row r="575" ht="12.75" customHeight="1">
      <c r="B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</row>
    <row r="576" ht="12.75" customHeight="1">
      <c r="B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</row>
    <row r="577" ht="12.75" customHeight="1">
      <c r="B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</row>
    <row r="578" ht="12.75" customHeight="1">
      <c r="B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</row>
    <row r="579" ht="12.75" customHeight="1">
      <c r="B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</row>
    <row r="580" ht="12.75" customHeight="1">
      <c r="B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</row>
    <row r="581" ht="12.75" customHeight="1">
      <c r="B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</row>
    <row r="582" ht="12.75" customHeight="1">
      <c r="B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</row>
    <row r="583" ht="12.75" customHeight="1">
      <c r="B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</row>
    <row r="584" ht="12.75" customHeight="1">
      <c r="B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</row>
    <row r="585" ht="12.75" customHeight="1">
      <c r="B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</row>
    <row r="586" ht="12.75" customHeight="1">
      <c r="B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</row>
    <row r="587" ht="12.75" customHeight="1">
      <c r="B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</row>
    <row r="588" ht="12.75" customHeight="1">
      <c r="B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</row>
    <row r="589" ht="12.75" customHeight="1">
      <c r="B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</row>
    <row r="590" ht="12.75" customHeight="1">
      <c r="B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</row>
    <row r="591" ht="12.75" customHeight="1">
      <c r="B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</row>
    <row r="592" ht="12.75" customHeight="1">
      <c r="B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</row>
    <row r="593" ht="12.75" customHeight="1">
      <c r="B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</row>
    <row r="594" ht="12.75" customHeight="1">
      <c r="B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</row>
    <row r="595" ht="12.75" customHeight="1">
      <c r="B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</row>
    <row r="596" ht="12.75" customHeight="1">
      <c r="B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</row>
    <row r="597" ht="12.75" customHeight="1">
      <c r="B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</row>
    <row r="598" ht="12.75" customHeight="1">
      <c r="B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</row>
    <row r="599" ht="12.75" customHeight="1">
      <c r="B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</row>
    <row r="600" ht="12.75" customHeight="1">
      <c r="B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</row>
    <row r="601" ht="12.75" customHeight="1">
      <c r="B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</row>
    <row r="602" ht="12.75" customHeight="1">
      <c r="B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</row>
    <row r="603" ht="12.75" customHeight="1">
      <c r="B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</row>
    <row r="604" ht="12.75" customHeight="1">
      <c r="B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</row>
    <row r="605" ht="12.75" customHeight="1">
      <c r="B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</row>
    <row r="606" ht="12.75" customHeight="1">
      <c r="B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</row>
    <row r="607" ht="12.75" customHeight="1">
      <c r="B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</row>
    <row r="608" ht="12.75" customHeight="1">
      <c r="B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</row>
    <row r="609" ht="12.75" customHeight="1">
      <c r="B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</row>
    <row r="610" ht="12.75" customHeight="1">
      <c r="B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</row>
    <row r="611" ht="12.75" customHeight="1">
      <c r="B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</row>
    <row r="612" ht="12.75" customHeight="1">
      <c r="B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</row>
    <row r="613" ht="12.75" customHeight="1">
      <c r="B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</row>
    <row r="614" ht="12.75" customHeight="1">
      <c r="B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</row>
    <row r="615" ht="12.75" customHeight="1">
      <c r="B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</row>
    <row r="616" ht="12.75" customHeight="1">
      <c r="B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</row>
    <row r="617" ht="12.75" customHeight="1">
      <c r="B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</row>
    <row r="618" ht="12.75" customHeight="1">
      <c r="B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</row>
    <row r="619" ht="12.75" customHeight="1">
      <c r="B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</row>
    <row r="620" ht="12.75" customHeight="1">
      <c r="B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</row>
    <row r="621" ht="12.75" customHeight="1">
      <c r="B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</row>
    <row r="622" ht="12.75" customHeight="1">
      <c r="B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</row>
    <row r="623" ht="12.75" customHeight="1">
      <c r="B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</row>
    <row r="624" ht="12.75" customHeight="1">
      <c r="B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</row>
    <row r="625" ht="12.75" customHeight="1">
      <c r="B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</row>
    <row r="626" ht="12.75" customHeight="1">
      <c r="B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</row>
    <row r="627" ht="12.75" customHeight="1">
      <c r="B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</row>
    <row r="628" ht="12.75" customHeight="1">
      <c r="B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</row>
    <row r="629" ht="12.75" customHeight="1">
      <c r="B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</row>
    <row r="630" ht="12.75" customHeight="1">
      <c r="B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</row>
    <row r="631" ht="12.75" customHeight="1">
      <c r="B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</row>
    <row r="632" ht="12.75" customHeight="1">
      <c r="B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</row>
    <row r="633" ht="12.75" customHeight="1">
      <c r="B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</row>
    <row r="634" ht="12.75" customHeight="1">
      <c r="B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</row>
    <row r="635" ht="12.75" customHeight="1">
      <c r="B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</row>
    <row r="636" ht="12.75" customHeight="1">
      <c r="B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</row>
    <row r="637" ht="12.75" customHeight="1">
      <c r="B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</row>
    <row r="638" ht="12.75" customHeight="1">
      <c r="B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</row>
    <row r="639" ht="12.75" customHeight="1">
      <c r="B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</row>
    <row r="640" ht="12.75" customHeight="1">
      <c r="B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</row>
    <row r="641" ht="12.75" customHeight="1">
      <c r="B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</row>
    <row r="642" ht="12.75" customHeight="1">
      <c r="B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</row>
    <row r="643" ht="12.75" customHeight="1">
      <c r="B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</row>
    <row r="644" ht="12.75" customHeight="1">
      <c r="B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</row>
    <row r="645" ht="12.75" customHeight="1">
      <c r="B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</row>
    <row r="646" ht="12.75" customHeight="1">
      <c r="B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</row>
    <row r="647" ht="12.75" customHeight="1">
      <c r="B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</row>
    <row r="648" ht="12.75" customHeight="1">
      <c r="B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</row>
    <row r="649" ht="12.75" customHeight="1">
      <c r="B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</row>
    <row r="650" ht="12.75" customHeight="1">
      <c r="B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</row>
    <row r="651" ht="12.75" customHeight="1">
      <c r="B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</row>
    <row r="652" ht="12.75" customHeight="1">
      <c r="B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</row>
    <row r="653" ht="12.75" customHeight="1">
      <c r="B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</row>
    <row r="654" ht="12.75" customHeight="1">
      <c r="B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</row>
    <row r="655" ht="12.75" customHeight="1">
      <c r="B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</row>
    <row r="656" ht="12.75" customHeight="1">
      <c r="B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</row>
    <row r="657" ht="12.75" customHeight="1">
      <c r="B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</row>
    <row r="658" ht="12.75" customHeight="1">
      <c r="B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</row>
    <row r="659" ht="12.75" customHeight="1">
      <c r="B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</row>
    <row r="660" ht="12.75" customHeight="1">
      <c r="B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</row>
    <row r="661" ht="12.75" customHeight="1">
      <c r="B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</row>
    <row r="662" ht="12.75" customHeight="1">
      <c r="B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</row>
    <row r="663" ht="12.75" customHeight="1">
      <c r="B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</row>
    <row r="664" ht="12.75" customHeight="1">
      <c r="B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</row>
    <row r="665" ht="12.75" customHeight="1">
      <c r="B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</row>
    <row r="666" ht="12.75" customHeight="1">
      <c r="B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</row>
    <row r="667" ht="12.75" customHeight="1">
      <c r="B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</row>
    <row r="668" ht="12.75" customHeight="1">
      <c r="B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</row>
    <row r="669" ht="12.75" customHeight="1">
      <c r="B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</row>
    <row r="670" ht="12.75" customHeight="1">
      <c r="B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</row>
    <row r="671" ht="12.75" customHeight="1">
      <c r="B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</row>
    <row r="672" ht="12.75" customHeight="1">
      <c r="B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</row>
    <row r="673" ht="12.75" customHeight="1">
      <c r="B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</row>
    <row r="674" ht="12.75" customHeight="1">
      <c r="B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</row>
    <row r="675" ht="12.75" customHeight="1">
      <c r="B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</row>
    <row r="676" ht="12.75" customHeight="1">
      <c r="B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</row>
    <row r="677" ht="12.75" customHeight="1">
      <c r="B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</row>
    <row r="678" ht="12.75" customHeight="1">
      <c r="B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</row>
    <row r="679" ht="12.75" customHeight="1">
      <c r="B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</row>
    <row r="680" ht="12.75" customHeight="1">
      <c r="B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</row>
    <row r="681" ht="12.75" customHeight="1">
      <c r="B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</row>
    <row r="682" ht="12.75" customHeight="1">
      <c r="B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</row>
    <row r="683" ht="12.75" customHeight="1">
      <c r="B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</row>
    <row r="684" ht="12.75" customHeight="1">
      <c r="B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</row>
    <row r="685" ht="12.75" customHeight="1">
      <c r="B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</row>
    <row r="686" ht="12.75" customHeight="1">
      <c r="B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</row>
    <row r="687" ht="12.75" customHeight="1">
      <c r="B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</row>
    <row r="688" ht="12.75" customHeight="1">
      <c r="B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</row>
    <row r="689" ht="12.75" customHeight="1">
      <c r="B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</row>
    <row r="690" ht="12.75" customHeight="1">
      <c r="B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</row>
    <row r="691" ht="12.75" customHeight="1">
      <c r="B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</row>
    <row r="692" ht="12.75" customHeight="1">
      <c r="B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</row>
    <row r="693" ht="12.75" customHeight="1">
      <c r="B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</row>
    <row r="694" ht="12.75" customHeight="1">
      <c r="B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</row>
    <row r="695" ht="12.75" customHeight="1">
      <c r="B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</row>
    <row r="696" ht="12.75" customHeight="1">
      <c r="B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</row>
    <row r="697" ht="12.75" customHeight="1">
      <c r="B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</row>
    <row r="698" ht="12.75" customHeight="1">
      <c r="B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</row>
    <row r="699" ht="12.75" customHeight="1">
      <c r="B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</row>
    <row r="700" ht="12.75" customHeight="1">
      <c r="B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</row>
    <row r="701" ht="12.75" customHeight="1">
      <c r="B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</row>
    <row r="702" ht="12.75" customHeight="1">
      <c r="B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</row>
    <row r="703" ht="12.75" customHeight="1">
      <c r="B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</row>
    <row r="704" ht="12.75" customHeight="1">
      <c r="B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</row>
    <row r="705" ht="12.75" customHeight="1">
      <c r="B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</row>
    <row r="706" ht="12.75" customHeight="1">
      <c r="B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</row>
    <row r="707" ht="12.75" customHeight="1">
      <c r="B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</row>
    <row r="708" ht="12.75" customHeight="1">
      <c r="B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</row>
    <row r="709" ht="12.75" customHeight="1">
      <c r="B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</row>
    <row r="710" ht="12.75" customHeight="1">
      <c r="B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</row>
    <row r="711" ht="12.75" customHeight="1">
      <c r="B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</row>
    <row r="712" ht="12.75" customHeight="1">
      <c r="B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</row>
    <row r="713" ht="12.75" customHeight="1">
      <c r="B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</row>
    <row r="714" ht="12.75" customHeight="1">
      <c r="B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</row>
    <row r="715" ht="12.75" customHeight="1">
      <c r="B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</row>
    <row r="716" ht="12.75" customHeight="1">
      <c r="B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</row>
    <row r="717" ht="12.75" customHeight="1">
      <c r="B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</row>
    <row r="718" ht="12.75" customHeight="1">
      <c r="B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</row>
    <row r="719" ht="12.75" customHeight="1">
      <c r="B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</row>
    <row r="720" ht="12.75" customHeight="1">
      <c r="B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</row>
    <row r="721" ht="12.75" customHeight="1">
      <c r="B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</row>
    <row r="722" ht="12.75" customHeight="1">
      <c r="B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</row>
    <row r="723" ht="12.75" customHeight="1">
      <c r="B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</row>
    <row r="724" ht="12.75" customHeight="1">
      <c r="B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</row>
    <row r="725" ht="12.75" customHeight="1">
      <c r="B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</row>
    <row r="726" ht="12.75" customHeight="1">
      <c r="B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</row>
    <row r="727" ht="12.75" customHeight="1">
      <c r="B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</row>
    <row r="728" ht="12.75" customHeight="1">
      <c r="B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</row>
    <row r="729" ht="12.75" customHeight="1">
      <c r="B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</row>
    <row r="730" ht="12.75" customHeight="1">
      <c r="B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</row>
    <row r="731" ht="12.75" customHeight="1">
      <c r="B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</row>
    <row r="732" ht="12.75" customHeight="1">
      <c r="B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</row>
    <row r="733" ht="12.75" customHeight="1">
      <c r="B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</row>
    <row r="734" ht="12.75" customHeight="1">
      <c r="B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</row>
    <row r="735" ht="12.75" customHeight="1">
      <c r="B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</row>
    <row r="736" ht="12.75" customHeight="1">
      <c r="B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</row>
    <row r="737" ht="12.75" customHeight="1">
      <c r="B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</row>
    <row r="738" ht="12.75" customHeight="1">
      <c r="B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</row>
    <row r="739" ht="12.75" customHeight="1">
      <c r="B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</row>
    <row r="740" ht="12.75" customHeight="1">
      <c r="B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</row>
    <row r="741" ht="12.75" customHeight="1">
      <c r="B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</row>
    <row r="742" ht="12.75" customHeight="1">
      <c r="B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</row>
    <row r="743" ht="12.75" customHeight="1">
      <c r="B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</row>
    <row r="744" ht="12.75" customHeight="1">
      <c r="B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</row>
    <row r="745" ht="12.75" customHeight="1">
      <c r="B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</row>
    <row r="746" ht="12.75" customHeight="1">
      <c r="B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</row>
    <row r="747" ht="12.75" customHeight="1">
      <c r="B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</row>
    <row r="748" ht="12.75" customHeight="1">
      <c r="B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</row>
    <row r="749" ht="12.75" customHeight="1">
      <c r="B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</row>
    <row r="750" ht="12.75" customHeight="1">
      <c r="B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</row>
    <row r="751" ht="12.75" customHeight="1">
      <c r="B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</row>
    <row r="752" ht="12.75" customHeight="1">
      <c r="B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</row>
    <row r="753" ht="12.75" customHeight="1">
      <c r="B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</row>
    <row r="754" ht="12.75" customHeight="1">
      <c r="B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</row>
    <row r="755" ht="12.75" customHeight="1">
      <c r="B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</row>
    <row r="756" ht="12.75" customHeight="1">
      <c r="B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</row>
    <row r="757" ht="12.75" customHeight="1">
      <c r="B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</row>
    <row r="758" ht="12.75" customHeight="1">
      <c r="B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</row>
    <row r="759" ht="12.75" customHeight="1">
      <c r="B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</row>
    <row r="760" ht="12.75" customHeight="1">
      <c r="B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</row>
    <row r="761" ht="12.75" customHeight="1">
      <c r="B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</row>
    <row r="762" ht="12.75" customHeight="1">
      <c r="B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</row>
    <row r="763" ht="12.75" customHeight="1">
      <c r="B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</row>
    <row r="764" ht="12.75" customHeight="1">
      <c r="B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</row>
    <row r="765" ht="12.75" customHeight="1">
      <c r="B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</row>
    <row r="766" ht="12.75" customHeight="1">
      <c r="B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</row>
    <row r="767" ht="12.75" customHeight="1">
      <c r="B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</row>
    <row r="768" ht="12.75" customHeight="1">
      <c r="B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</row>
    <row r="769" ht="12.75" customHeight="1">
      <c r="B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</row>
    <row r="770" ht="12.75" customHeight="1">
      <c r="B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</row>
    <row r="771" ht="12.75" customHeight="1">
      <c r="B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</row>
    <row r="772" ht="12.75" customHeight="1">
      <c r="B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</row>
    <row r="773" ht="12.75" customHeight="1">
      <c r="B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</row>
    <row r="774" ht="12.75" customHeight="1">
      <c r="B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</row>
    <row r="775" ht="12.75" customHeight="1">
      <c r="B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</row>
    <row r="776" ht="12.75" customHeight="1">
      <c r="B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</row>
    <row r="777" ht="12.75" customHeight="1">
      <c r="B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</row>
    <row r="778" ht="12.75" customHeight="1">
      <c r="B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</row>
    <row r="779" ht="12.75" customHeight="1">
      <c r="B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</row>
    <row r="780" ht="12.75" customHeight="1">
      <c r="B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</row>
    <row r="781" ht="12.75" customHeight="1">
      <c r="B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</row>
    <row r="782" ht="12.75" customHeight="1">
      <c r="B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</row>
    <row r="783" ht="12.75" customHeight="1">
      <c r="B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</row>
    <row r="784" ht="12.75" customHeight="1">
      <c r="B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</row>
    <row r="785" ht="12.75" customHeight="1">
      <c r="B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</row>
    <row r="786" ht="12.75" customHeight="1">
      <c r="B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</row>
    <row r="787" ht="12.75" customHeight="1">
      <c r="B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</row>
    <row r="788" ht="12.75" customHeight="1">
      <c r="B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</row>
    <row r="789" ht="12.75" customHeight="1">
      <c r="B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</row>
    <row r="790" ht="12.75" customHeight="1">
      <c r="B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</row>
    <row r="791" ht="12.75" customHeight="1">
      <c r="B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</row>
    <row r="792" ht="12.75" customHeight="1">
      <c r="B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</row>
    <row r="793" ht="12.75" customHeight="1">
      <c r="B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</row>
    <row r="794" ht="12.75" customHeight="1">
      <c r="B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</row>
    <row r="795" ht="12.75" customHeight="1">
      <c r="B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</row>
    <row r="796" ht="12.75" customHeight="1">
      <c r="B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</row>
    <row r="797" ht="12.75" customHeight="1">
      <c r="B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</row>
    <row r="798" ht="12.75" customHeight="1">
      <c r="B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</row>
    <row r="799" ht="12.75" customHeight="1">
      <c r="B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</row>
    <row r="800" ht="12.75" customHeight="1">
      <c r="B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</row>
    <row r="801" ht="12.75" customHeight="1">
      <c r="B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</row>
    <row r="802" ht="12.75" customHeight="1">
      <c r="B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</row>
    <row r="803" ht="12.75" customHeight="1">
      <c r="B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</row>
    <row r="804" ht="12.75" customHeight="1">
      <c r="B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</row>
    <row r="805" ht="12.75" customHeight="1">
      <c r="B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</row>
    <row r="806" ht="12.75" customHeight="1">
      <c r="B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</row>
    <row r="807" ht="12.75" customHeight="1">
      <c r="B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</row>
    <row r="808" ht="12.75" customHeight="1">
      <c r="B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</row>
    <row r="809" ht="12.75" customHeight="1">
      <c r="B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</row>
    <row r="810" ht="12.75" customHeight="1">
      <c r="B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</row>
    <row r="811" ht="12.75" customHeight="1">
      <c r="B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</row>
    <row r="812" ht="12.75" customHeight="1">
      <c r="B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</row>
    <row r="813" ht="12.75" customHeight="1">
      <c r="B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</row>
    <row r="814" ht="12.75" customHeight="1">
      <c r="B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</row>
    <row r="815" ht="12.75" customHeight="1">
      <c r="B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</row>
    <row r="816" ht="12.75" customHeight="1">
      <c r="B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</row>
    <row r="817" ht="12.75" customHeight="1">
      <c r="B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</row>
    <row r="818" ht="12.75" customHeight="1">
      <c r="B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</row>
    <row r="819" ht="12.75" customHeight="1">
      <c r="B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</row>
    <row r="820" ht="12.75" customHeight="1">
      <c r="B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</row>
    <row r="821" ht="12.75" customHeight="1">
      <c r="B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</row>
    <row r="822" ht="12.75" customHeight="1">
      <c r="B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</row>
    <row r="823" ht="12.75" customHeight="1">
      <c r="B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</row>
    <row r="824" ht="12.75" customHeight="1">
      <c r="B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</row>
    <row r="825" ht="12.75" customHeight="1">
      <c r="B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</row>
    <row r="826" ht="12.75" customHeight="1">
      <c r="B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</row>
    <row r="827" ht="12.75" customHeight="1">
      <c r="B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</row>
    <row r="828" ht="12.75" customHeight="1">
      <c r="B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</row>
    <row r="829" ht="12.75" customHeight="1">
      <c r="B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</row>
    <row r="830" ht="12.75" customHeight="1">
      <c r="B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</row>
    <row r="831" ht="12.75" customHeight="1">
      <c r="B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</row>
    <row r="832" ht="12.75" customHeight="1">
      <c r="B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</row>
    <row r="833" ht="12.75" customHeight="1">
      <c r="B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</row>
    <row r="834" ht="12.75" customHeight="1">
      <c r="B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</row>
    <row r="835" ht="12.75" customHeight="1">
      <c r="B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</row>
    <row r="836" ht="12.75" customHeight="1">
      <c r="B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</row>
    <row r="837" ht="12.75" customHeight="1">
      <c r="B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</row>
    <row r="838" ht="12.75" customHeight="1">
      <c r="B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</row>
    <row r="839" ht="12.75" customHeight="1">
      <c r="B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</row>
    <row r="840" ht="12.75" customHeight="1">
      <c r="B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</row>
    <row r="841" ht="12.75" customHeight="1">
      <c r="B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</row>
    <row r="842" ht="12.75" customHeight="1">
      <c r="B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</row>
    <row r="843" ht="12.75" customHeight="1">
      <c r="B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</row>
    <row r="844" ht="12.75" customHeight="1">
      <c r="B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</row>
    <row r="845" ht="12.75" customHeight="1">
      <c r="B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</row>
    <row r="846" ht="12.75" customHeight="1">
      <c r="B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</row>
    <row r="847" ht="12.75" customHeight="1">
      <c r="B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</row>
    <row r="848" ht="12.75" customHeight="1">
      <c r="B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</row>
    <row r="849" ht="12.75" customHeight="1">
      <c r="B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</row>
    <row r="850" ht="12.75" customHeight="1">
      <c r="B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</row>
    <row r="851" ht="12.75" customHeight="1">
      <c r="B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</row>
    <row r="852" ht="12.75" customHeight="1">
      <c r="B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</row>
    <row r="853" ht="12.75" customHeight="1">
      <c r="B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</row>
    <row r="854" ht="12.75" customHeight="1">
      <c r="B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</row>
    <row r="855" ht="12.75" customHeight="1">
      <c r="B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</row>
    <row r="856" ht="12.75" customHeight="1">
      <c r="B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</row>
    <row r="857" ht="12.75" customHeight="1">
      <c r="B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</row>
    <row r="858" ht="12.75" customHeight="1">
      <c r="B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</row>
    <row r="859" ht="12.75" customHeight="1">
      <c r="B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</row>
    <row r="860" ht="12.75" customHeight="1">
      <c r="B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</row>
    <row r="861" ht="12.75" customHeight="1">
      <c r="B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</row>
    <row r="862" ht="12.75" customHeight="1">
      <c r="B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</row>
    <row r="863" ht="12.75" customHeight="1">
      <c r="B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</row>
    <row r="864" ht="12.75" customHeight="1">
      <c r="B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</row>
    <row r="865" ht="12.75" customHeight="1">
      <c r="B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</row>
    <row r="866" ht="12.75" customHeight="1">
      <c r="B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</row>
    <row r="867" ht="12.75" customHeight="1">
      <c r="B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</row>
    <row r="868" ht="12.75" customHeight="1">
      <c r="B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</row>
    <row r="869" ht="12.75" customHeight="1">
      <c r="B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</row>
    <row r="870" ht="12.75" customHeight="1">
      <c r="B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</row>
    <row r="871" ht="12.75" customHeight="1">
      <c r="B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</row>
    <row r="872" ht="12.75" customHeight="1">
      <c r="B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</row>
    <row r="873" ht="12.75" customHeight="1">
      <c r="B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</row>
    <row r="874" ht="12.75" customHeight="1">
      <c r="B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</row>
    <row r="875" ht="12.75" customHeight="1">
      <c r="B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</row>
    <row r="876" ht="12.75" customHeight="1">
      <c r="B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</row>
    <row r="877" ht="12.75" customHeight="1">
      <c r="B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</row>
    <row r="878" ht="12.75" customHeight="1">
      <c r="B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</row>
    <row r="879" ht="12.75" customHeight="1">
      <c r="B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</row>
    <row r="880" ht="12.75" customHeight="1">
      <c r="B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</row>
    <row r="881" ht="12.75" customHeight="1">
      <c r="B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</row>
    <row r="882" ht="12.75" customHeight="1">
      <c r="B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</row>
    <row r="883" ht="12.75" customHeight="1">
      <c r="B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</row>
    <row r="884" ht="12.75" customHeight="1">
      <c r="B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</row>
    <row r="885" ht="12.75" customHeight="1">
      <c r="B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</row>
    <row r="886" ht="12.75" customHeight="1">
      <c r="B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</row>
    <row r="887" ht="12.75" customHeight="1">
      <c r="B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</row>
    <row r="888" ht="12.75" customHeight="1">
      <c r="B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</row>
    <row r="889" ht="12.75" customHeight="1">
      <c r="B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</row>
    <row r="890" ht="12.75" customHeight="1">
      <c r="B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</row>
    <row r="891" ht="12.75" customHeight="1">
      <c r="B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</row>
    <row r="892" ht="12.75" customHeight="1">
      <c r="B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</row>
    <row r="893" ht="12.75" customHeight="1">
      <c r="B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</row>
    <row r="894" ht="12.75" customHeight="1">
      <c r="B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</row>
    <row r="895" ht="12.75" customHeight="1">
      <c r="B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</row>
    <row r="896" ht="12.75" customHeight="1">
      <c r="B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</row>
    <row r="897" ht="12.75" customHeight="1">
      <c r="B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</row>
    <row r="898" ht="12.75" customHeight="1">
      <c r="B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</row>
    <row r="899" ht="12.75" customHeight="1">
      <c r="B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</row>
    <row r="900" ht="12.75" customHeight="1">
      <c r="B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</row>
    <row r="901" ht="12.75" customHeight="1">
      <c r="B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</row>
    <row r="902" ht="12.75" customHeight="1">
      <c r="B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</row>
    <row r="903" ht="12.75" customHeight="1">
      <c r="B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</row>
    <row r="904" ht="12.75" customHeight="1">
      <c r="B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</row>
    <row r="905" ht="12.75" customHeight="1">
      <c r="B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</row>
    <row r="906" ht="12.75" customHeight="1">
      <c r="B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</row>
    <row r="907" ht="12.75" customHeight="1">
      <c r="B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</row>
    <row r="908" ht="12.75" customHeight="1">
      <c r="B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</row>
    <row r="909" ht="12.75" customHeight="1">
      <c r="B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</row>
    <row r="910" ht="12.75" customHeight="1">
      <c r="B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</row>
    <row r="911" ht="12.75" customHeight="1">
      <c r="B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</row>
    <row r="912" ht="12.75" customHeight="1">
      <c r="B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</row>
    <row r="913" ht="12.75" customHeight="1">
      <c r="B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</row>
    <row r="914" ht="12.75" customHeight="1">
      <c r="B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</row>
    <row r="915" ht="12.75" customHeight="1">
      <c r="B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</row>
    <row r="916" ht="12.75" customHeight="1">
      <c r="B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</row>
    <row r="917" ht="12.75" customHeight="1">
      <c r="B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</row>
    <row r="918" ht="12.75" customHeight="1">
      <c r="B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</row>
    <row r="919" ht="12.75" customHeight="1">
      <c r="B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</row>
    <row r="920" ht="12.75" customHeight="1">
      <c r="B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</row>
    <row r="921" ht="12.75" customHeight="1">
      <c r="B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</row>
    <row r="922" ht="12.75" customHeight="1">
      <c r="B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</row>
    <row r="923" ht="12.75" customHeight="1">
      <c r="B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</row>
    <row r="924" ht="12.75" customHeight="1">
      <c r="B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</row>
    <row r="925" ht="12.75" customHeight="1">
      <c r="B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</row>
    <row r="926" ht="12.75" customHeight="1">
      <c r="B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</row>
    <row r="927" ht="12.75" customHeight="1">
      <c r="B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</row>
    <row r="928" ht="12.75" customHeight="1">
      <c r="B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</row>
    <row r="929" ht="12.75" customHeight="1">
      <c r="B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</row>
    <row r="930" ht="12.75" customHeight="1">
      <c r="B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</row>
    <row r="931" ht="12.75" customHeight="1">
      <c r="B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</row>
    <row r="932" ht="12.75" customHeight="1">
      <c r="B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</row>
    <row r="933" ht="12.75" customHeight="1">
      <c r="B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</row>
    <row r="934" ht="12.75" customHeight="1">
      <c r="B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</row>
    <row r="935" ht="12.75" customHeight="1">
      <c r="B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</row>
    <row r="936" ht="12.75" customHeight="1">
      <c r="B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</row>
    <row r="937" ht="12.75" customHeight="1">
      <c r="B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</row>
    <row r="938" ht="12.75" customHeight="1">
      <c r="B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</row>
    <row r="939" ht="12.75" customHeight="1">
      <c r="B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</row>
    <row r="940" ht="12.75" customHeight="1">
      <c r="B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</row>
    <row r="941" ht="12.75" customHeight="1">
      <c r="B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</row>
    <row r="942" ht="12.75" customHeight="1">
      <c r="B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</row>
    <row r="943" ht="12.75" customHeight="1">
      <c r="B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</row>
    <row r="944" ht="12.75" customHeight="1">
      <c r="B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</row>
    <row r="945" ht="12.75" customHeight="1">
      <c r="B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</row>
    <row r="946" ht="12.75" customHeight="1">
      <c r="B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</row>
    <row r="947" ht="12.75" customHeight="1">
      <c r="B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</row>
    <row r="948" ht="12.75" customHeight="1">
      <c r="B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</row>
    <row r="949" ht="12.75" customHeight="1">
      <c r="B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</row>
    <row r="950" ht="12.75" customHeight="1">
      <c r="B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</row>
    <row r="951" ht="12.75" customHeight="1">
      <c r="B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</row>
    <row r="952" ht="12.75" customHeight="1">
      <c r="B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</row>
    <row r="953" ht="12.75" customHeight="1">
      <c r="B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</row>
    <row r="954" ht="12.75" customHeight="1">
      <c r="B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</row>
    <row r="955" ht="12.75" customHeight="1">
      <c r="B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</row>
    <row r="956" ht="12.75" customHeight="1">
      <c r="B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</row>
    <row r="957" ht="12.75" customHeight="1">
      <c r="B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</row>
    <row r="958" ht="12.75" customHeight="1">
      <c r="B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</row>
    <row r="959" ht="12.75" customHeight="1">
      <c r="B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</row>
    <row r="960" ht="12.75" customHeight="1">
      <c r="B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</row>
    <row r="961" ht="12.75" customHeight="1">
      <c r="B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</row>
    <row r="962" ht="12.75" customHeight="1">
      <c r="B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</row>
    <row r="963" ht="12.75" customHeight="1">
      <c r="B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</row>
    <row r="964" ht="12.75" customHeight="1">
      <c r="B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</row>
    <row r="965" ht="12.75" customHeight="1">
      <c r="B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</row>
    <row r="966" ht="12.75" customHeight="1">
      <c r="B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</row>
    <row r="967" ht="12.75" customHeight="1">
      <c r="B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</row>
    <row r="968" ht="12.75" customHeight="1">
      <c r="B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</row>
    <row r="969" ht="12.75" customHeight="1">
      <c r="B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</row>
    <row r="970" ht="12.75" customHeight="1">
      <c r="B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</row>
    <row r="971" ht="12.75" customHeight="1">
      <c r="B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</row>
    <row r="972" ht="12.75" customHeight="1">
      <c r="B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</row>
    <row r="973" ht="12.75" customHeight="1">
      <c r="B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</row>
    <row r="974" ht="12.75" customHeight="1">
      <c r="B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</row>
    <row r="975" ht="12.75" customHeight="1">
      <c r="B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</row>
    <row r="976" ht="12.75" customHeight="1">
      <c r="B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</row>
    <row r="977" ht="12.75" customHeight="1">
      <c r="B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</row>
    <row r="978" ht="12.75" customHeight="1">
      <c r="B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</row>
    <row r="979" ht="12.75" customHeight="1">
      <c r="B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</row>
    <row r="980" ht="12.75" customHeight="1">
      <c r="B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</row>
    <row r="981" ht="12.75" customHeight="1">
      <c r="B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</row>
    <row r="982" ht="12.75" customHeight="1">
      <c r="B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</row>
    <row r="983" ht="12.75" customHeight="1">
      <c r="B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</row>
    <row r="984" ht="12.75" customHeight="1">
      <c r="B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</row>
    <row r="985" ht="12.75" customHeight="1">
      <c r="B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</row>
    <row r="986" ht="12.75" customHeight="1">
      <c r="B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</row>
    <row r="987" ht="12.75" customHeight="1">
      <c r="B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</row>
    <row r="988" ht="12.75" customHeight="1">
      <c r="B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</row>
    <row r="989" ht="12.75" customHeight="1">
      <c r="B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</row>
    <row r="990" ht="12.75" customHeight="1">
      <c r="B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</row>
    <row r="991" ht="12.75" customHeight="1">
      <c r="B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</row>
    <row r="992" ht="12.75" customHeight="1">
      <c r="B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</row>
    <row r="993" ht="12.75" customHeight="1">
      <c r="B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</row>
    <row r="994" ht="12.75" customHeight="1">
      <c r="B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</row>
    <row r="995" ht="12.75" customHeight="1">
      <c r="B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</row>
    <row r="996" ht="12.75" customHeight="1">
      <c r="B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</row>
    <row r="997" ht="12.75" customHeight="1">
      <c r="B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</row>
    <row r="998" ht="12.75" customHeight="1">
      <c r="B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</row>
    <row r="999" ht="12.75" customHeight="1">
      <c r="B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</row>
    <row r="1000" ht="12.75" customHeight="1">
      <c r="B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</row>
  </sheetData>
  <conditionalFormatting sqref="A19:AD58 J15:AD18">
    <cfRule type="expression" dxfId="6" priority="1">
      <formula>$D19="Done"</formula>
    </cfRule>
  </conditionalFormatting>
  <conditionalFormatting sqref="A19:AD58 J15:AD18">
    <cfRule type="expression" dxfId="5" priority="2">
      <formula>$D19="Ongoing"</formula>
    </cfRule>
  </conditionalFormatting>
  <conditionalFormatting sqref="A15:I18">
    <cfRule type="expression" dxfId="6" priority="3">
      <formula>$D15="Done"</formula>
    </cfRule>
  </conditionalFormatting>
  <conditionalFormatting sqref="A15:I18">
    <cfRule type="expression" dxfId="5" priority="4">
      <formula>$D15="Ongoing"</formula>
    </cfRule>
  </conditionalFormatting>
  <dataValidations>
    <dataValidation type="list" allowBlank="1" showInputMessage="1" prompt=" - " sqref="D3:D8 D15:D64">
      <formula1>"Planned,Ongoing,Done"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2" width="47.29"/>
  </cols>
  <sheetData>
    <row r="1">
      <c r="A1" s="72" t="s">
        <v>91</v>
      </c>
      <c r="B1" s="72" t="s">
        <v>92</v>
      </c>
      <c r="C1" s="72" t="s">
        <v>93</v>
      </c>
      <c r="D1" s="72" t="s">
        <v>94</v>
      </c>
      <c r="E1" s="72" t="s">
        <v>95</v>
      </c>
    </row>
    <row r="2">
      <c r="B2" s="72" t="s">
        <v>22</v>
      </c>
      <c r="E2" s="72">
        <v>8.0</v>
      </c>
    </row>
    <row r="3">
      <c r="B3" s="72" t="s">
        <v>20</v>
      </c>
      <c r="E3" s="72">
        <v>3.0</v>
      </c>
    </row>
    <row r="4">
      <c r="B4" s="72" t="s">
        <v>39</v>
      </c>
      <c r="E4" s="72">
        <v>5.0</v>
      </c>
    </row>
    <row r="5">
      <c r="B5" s="72" t="s">
        <v>44</v>
      </c>
      <c r="E5" s="72">
        <v>5.0</v>
      </c>
    </row>
    <row r="6">
      <c r="B6" s="72" t="s">
        <v>46</v>
      </c>
      <c r="E6" s="72">
        <v>2.0</v>
      </c>
    </row>
    <row r="7">
      <c r="B7" s="72" t="s">
        <v>18</v>
      </c>
      <c r="E7" s="72">
        <v>8.0</v>
      </c>
    </row>
    <row r="8">
      <c r="B8" s="72" t="s">
        <v>35</v>
      </c>
      <c r="E8" s="72">
        <v>1.0</v>
      </c>
    </row>
    <row r="9">
      <c r="B9" s="72" t="s">
        <v>24</v>
      </c>
      <c r="E9" s="72">
        <v>2.0</v>
      </c>
    </row>
    <row r="10">
      <c r="B10" s="72" t="s">
        <v>28</v>
      </c>
      <c r="E10" s="72">
        <v>2.0</v>
      </c>
    </row>
    <row r="11">
      <c r="B11" s="72" t="s">
        <v>48</v>
      </c>
      <c r="E11" s="72">
        <v>1.0</v>
      </c>
    </row>
    <row r="12">
      <c r="B12" s="72" t="s">
        <v>42</v>
      </c>
      <c r="E12" s="72">
        <v>2.0</v>
      </c>
    </row>
    <row r="13">
      <c r="B13" s="72" t="s">
        <v>33</v>
      </c>
      <c r="E13" s="72">
        <v>2.0</v>
      </c>
    </row>
    <row r="14">
      <c r="B14" s="72" t="s">
        <v>26</v>
      </c>
      <c r="E14" s="72">
        <v>1.0</v>
      </c>
    </row>
  </sheetData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86"/>
    <col customWidth="1" min="2" max="4" width="8.0"/>
    <col customWidth="1" min="5" max="5" width="14.43"/>
    <col customWidth="1" hidden="1" min="6" max="6" width="15.71"/>
    <col customWidth="1" hidden="1" min="7" max="8" width="5.57"/>
    <col customWidth="1" hidden="1" min="9" max="9" width="7.29"/>
    <col customWidth="1" hidden="1" min="10" max="10" width="4.29"/>
    <col customWidth="1" hidden="1" min="11" max="13" width="6.86"/>
    <col customWidth="1" hidden="1" min="14" max="16" width="9.14"/>
    <col customWidth="1" hidden="1" min="17" max="17" width="10.57"/>
    <col customWidth="1" min="18" max="25" width="8.0"/>
    <col customWidth="1" min="26" max="26" width="66.14"/>
  </cols>
  <sheetData>
    <row r="1" ht="17.25" customHeight="1">
      <c r="A1" s="1" t="s">
        <v>96</v>
      </c>
    </row>
    <row r="2" ht="12.75" customHeight="1"/>
    <row r="3" ht="12.75" customHeight="1">
      <c r="A3" s="62" t="s">
        <v>97</v>
      </c>
      <c r="D3" s="62">
        <v>137.0</v>
      </c>
      <c r="F3" s="62" t="s">
        <v>98</v>
      </c>
      <c r="G3" s="86">
        <f>IF(COUNT(B28:B39)=0,1,COUNT(B28:B39))</f>
        <v>3</v>
      </c>
    </row>
    <row r="4" ht="12.75" customHeight="1">
      <c r="A4" s="62" t="s">
        <v>99</v>
      </c>
      <c r="D4" s="62">
        <v>3.0</v>
      </c>
      <c r="E4" s="62" t="s">
        <v>100</v>
      </c>
      <c r="F4" s="62" t="s">
        <v>101</v>
      </c>
      <c r="G4" s="86">
        <f>IF(COUNT(D28:D51)=0,1,COUNT(D28:D51)+1)</f>
        <v>1</v>
      </c>
    </row>
    <row r="5" ht="12.75" customHeight="1">
      <c r="F5" s="62" t="s">
        <v>102</v>
      </c>
      <c r="G5" s="86">
        <f>IF(G4&gt;D4,G4-D4,0)</f>
        <v>0</v>
      </c>
      <c r="Z5" s="50" t="s">
        <v>103</v>
      </c>
    </row>
    <row r="6" ht="12.75" customHeight="1">
      <c r="A6" s="13" t="s">
        <v>104</v>
      </c>
      <c r="F6" s="62" t="s">
        <v>105</v>
      </c>
      <c r="G6" s="86">
        <f>TrendSprintCount-TrendOffset</f>
        <v>1</v>
      </c>
      <c r="Z6" s="50" t="s">
        <v>106</v>
      </c>
    </row>
    <row r="7" ht="12.75" customHeight="1">
      <c r="A7" s="62" t="s">
        <v>107</v>
      </c>
      <c r="D7" s="62">
        <v>30.0</v>
      </c>
      <c r="Z7" s="50" t="s">
        <v>108</v>
      </c>
    </row>
    <row r="8" ht="12.75" customHeight="1">
      <c r="A8" s="87">
        <f>D$4</f>
        <v>3</v>
      </c>
      <c r="D8" s="88" t="str">
        <f>IF(D28="","",AVERAGE(OFFSET(D27,TrendOffset,0,SprintsInTrend,1)))</f>
        <v/>
      </c>
      <c r="Z8" s="50" t="s">
        <v>109</v>
      </c>
    </row>
    <row r="9" ht="12.75" customHeight="1">
      <c r="A9" s="62" t="s">
        <v>110</v>
      </c>
      <c r="D9" s="88" t="str">
        <f>IF(D28="","",AVERAGE(OFFSET(D27,1,0,SprintCount,1)))</f>
        <v/>
      </c>
      <c r="F9" s="62" t="s">
        <v>111</v>
      </c>
      <c r="G9" s="86" t="str">
        <f>IF(M28="",1,COUNT(M28:M110))</f>
        <v>#N/A</v>
      </c>
      <c r="Z9" s="50" t="s">
        <v>113</v>
      </c>
    </row>
    <row r="10" ht="12.75" customHeight="1">
      <c r="A10" s="62" t="s">
        <v>114</v>
      </c>
      <c r="D10" s="88" t="str">
        <f>IF(D28="","",AVERAGE(LastEight))</f>
        <v/>
      </c>
      <c r="Z10" s="50" t="s">
        <v>115</v>
      </c>
    </row>
    <row r="11" ht="12.75" customHeight="1">
      <c r="A11" s="62" t="s">
        <v>116</v>
      </c>
      <c r="D11" s="88" t="str">
        <f>IF(D28="","",IF(TrendSprintCount&lt;4,D10,AVERAGE(SMALL(LastEight,1),SMALL(LastEight,2),SMALL(LastEight,3))))</f>
        <v/>
      </c>
      <c r="Z11" s="50" t="s">
        <v>119</v>
      </c>
    </row>
    <row r="12" ht="12.75" customHeight="1">
      <c r="A12" s="62" t="s">
        <v>59</v>
      </c>
      <c r="D12" s="88" t="str">
        <f>IF(M29="","",M28-M29)</f>
        <v>#N/A</v>
      </c>
      <c r="Z12" s="50" t="s">
        <v>120</v>
      </c>
    </row>
    <row r="13" ht="12.75" customHeight="1">
      <c r="F13" s="68" t="s">
        <v>121</v>
      </c>
      <c r="Z13" s="50" t="s">
        <v>122</v>
      </c>
    </row>
    <row r="14" ht="12.75" customHeight="1">
      <c r="A14" s="13" t="s">
        <v>123</v>
      </c>
    </row>
    <row r="15" ht="12.75" customHeight="1">
      <c r="A15" s="62" t="s">
        <v>124</v>
      </c>
      <c r="D15" s="95">
        <f>IF(D7="",0,ROUNDUP(D3/D7*0.6,0))</f>
        <v>3</v>
      </c>
    </row>
    <row r="16" ht="12.75" customHeight="1">
      <c r="A16" s="62" t="s">
        <v>127</v>
      </c>
      <c r="D16" s="95">
        <f>IF(D7="",0,ROUNDUP(D3/D7,0))</f>
        <v>5</v>
      </c>
    </row>
    <row r="17" ht="12.75" customHeight="1">
      <c r="A17" s="62" t="s">
        <v>128</v>
      </c>
      <c r="D17" s="95">
        <f>IF(D7="",0,ROUNDUP(D3/D7*1.6,0))</f>
        <v>8</v>
      </c>
      <c r="F17" s="62" t="s">
        <v>129</v>
      </c>
      <c r="G17" s="62">
        <f>IF(OR(D28="",D29=""),1,STDEV(D28:D51))</f>
        <v>1</v>
      </c>
    </row>
    <row r="18" ht="12.75" customHeight="1">
      <c r="A18" s="87">
        <f>D$4</f>
        <v>3</v>
      </c>
      <c r="D18" s="95" t="str">
        <f>IF(D8="","",IF(LastRealized="",ROUNDUP(LastPlanned/D8,0)+SprintCount-1,ROUNDUP((LastPlanned-LastRealized)/D8+SprintCount,0)))</f>
        <v/>
      </c>
    </row>
    <row r="19" ht="12.75" customHeight="1">
      <c r="A19" s="62" t="s">
        <v>130</v>
      </c>
      <c r="D19" s="95" t="str">
        <f>IF(D9="","",IF(LastRealized="",ROUNDUP(LastPlanned/D9+SprintCount-1,0),ROUNDUP((LastPlanned-LastRealized)/D9,0)+SprintCount))</f>
        <v/>
      </c>
      <c r="F19" s="62" t="s">
        <v>131</v>
      </c>
      <c r="G19" s="62" t="str">
        <f>LastPlanned</f>
        <v>#NAME?</v>
      </c>
    </row>
    <row r="20" ht="12.75" customHeight="1">
      <c r="A20" s="62" t="s">
        <v>114</v>
      </c>
      <c r="D20" s="95" t="str">
        <f>IF(D10="","",IF(LastRealized="",ROUNDUP(LastPlanned/D10+SprintCount-1,0),ROUNDUP((LastPlanned-LastRealized)/D10,0)+SprintCount))</f>
        <v/>
      </c>
      <c r="F20" s="62" t="s">
        <v>132</v>
      </c>
      <c r="G20" s="62" t="str">
        <f>LastRealized</f>
        <v>#NAME?</v>
      </c>
    </row>
    <row r="21" ht="12.75" customHeight="1">
      <c r="A21" s="62" t="s">
        <v>116</v>
      </c>
      <c r="D21" s="95" t="str">
        <f>IF(D11="","",IF(LastRealized="",ROUNDUP(LastPlanned/D11+SprintCount-1,0),ROUNDUP((LastPlanned-LastRealized)/D11,0)+SprintCount))</f>
        <v/>
      </c>
    </row>
    <row r="22" ht="12.75" customHeight="1">
      <c r="A22" s="62" t="s">
        <v>59</v>
      </c>
      <c r="D22" s="95" t="str">
        <f>IF(COUNT(M28:M51)-1&gt;0,COUNT(M28:M51)-1,"")</f>
        <v/>
      </c>
    </row>
    <row r="23" ht="12.75" customHeight="1">
      <c r="A23" s="62" t="s">
        <v>133</v>
      </c>
      <c r="D23" s="95" t="str">
        <f>IF(D9="","",IF(LastRealized="",ROUNDUP(LastPlanned/(D9+G17)+SprintCount-1,0),ROUNDUP((LastPlanned-LastRealized)/(D9+G17)+SprintCount,0)))</f>
        <v/>
      </c>
    </row>
    <row r="24" ht="12.75" customHeight="1">
      <c r="A24" s="62" t="s">
        <v>135</v>
      </c>
      <c r="D24" s="95" t="str">
        <f>IF(D9="","",IF(LastRealized="",ROUNDUP(LastPlanned/(D9-G17)+SprintCount-1,0),ROUNDUP((LastPlanned-LastRealized)/(D9-G17)+SprintCount,0)))</f>
        <v/>
      </c>
    </row>
    <row r="25" ht="12.75" customHeight="1"/>
    <row r="26" ht="12.75" customHeight="1">
      <c r="F26" s="111" t="s">
        <v>59</v>
      </c>
      <c r="G26" s="112"/>
      <c r="H26" s="112"/>
      <c r="I26" s="112"/>
      <c r="J26" s="112"/>
      <c r="K26" s="112"/>
      <c r="L26" s="112"/>
      <c r="M26" s="112"/>
      <c r="N26" s="113"/>
      <c r="O26" s="111" t="s">
        <v>138</v>
      </c>
      <c r="P26" s="112"/>
      <c r="Q26" s="113"/>
    </row>
    <row r="27" ht="27.0" customHeight="1">
      <c r="A27" s="114" t="s">
        <v>13</v>
      </c>
      <c r="B27" s="115" t="s">
        <v>139</v>
      </c>
      <c r="C27" s="115" t="s">
        <v>140</v>
      </c>
      <c r="D27" s="116" t="s">
        <v>141</v>
      </c>
      <c r="E27" s="116" t="s">
        <v>142</v>
      </c>
      <c r="F27" s="117" t="s">
        <v>143</v>
      </c>
      <c r="G27" s="118" t="s">
        <v>145</v>
      </c>
      <c r="H27" s="113"/>
      <c r="I27" s="117" t="s">
        <v>146</v>
      </c>
      <c r="J27" s="119"/>
      <c r="K27" s="117" t="s">
        <v>147</v>
      </c>
      <c r="L27" s="117" t="s">
        <v>148</v>
      </c>
      <c r="M27" s="117" t="s">
        <v>149</v>
      </c>
      <c r="N27" s="120" t="s">
        <v>150</v>
      </c>
      <c r="O27" s="117" t="s">
        <v>151</v>
      </c>
      <c r="P27" s="117" t="s">
        <v>152</v>
      </c>
      <c r="Q27" s="117" t="s">
        <v>153</v>
      </c>
      <c r="R27" s="26"/>
      <c r="S27" s="26"/>
      <c r="T27" s="26"/>
      <c r="U27" s="26"/>
      <c r="V27" s="26"/>
      <c r="W27" s="26"/>
      <c r="X27" s="26"/>
      <c r="Y27" s="26"/>
      <c r="Z27" s="26"/>
    </row>
    <row r="28" ht="12.75" customHeight="1">
      <c r="A28" s="121">
        <v>1.0</v>
      </c>
      <c r="B28" s="73">
        <v>31.0</v>
      </c>
      <c r="C28" s="73">
        <v>12.0</v>
      </c>
      <c r="D28" s="3"/>
      <c r="E28" s="121">
        <f>B28</f>
        <v>31</v>
      </c>
      <c r="F28" s="86">
        <f>B28</f>
        <v>31</v>
      </c>
      <c r="G28" s="86">
        <f t="shared" ref="G28:G51" si="1">F28</f>
        <v>31</v>
      </c>
      <c r="H28" s="86">
        <f t="shared" ref="H28:H51" si="2">I28</f>
        <v>0</v>
      </c>
      <c r="I28" s="86">
        <v>0.0</v>
      </c>
      <c r="K28" s="62">
        <f t="shared" ref="K28:K51" si="3">IF(F28&lt;I28,I28,F28)</f>
        <v>31</v>
      </c>
      <c r="L28" s="86" t="str">
        <f t="array" ref="L28">IF(TREND(OFFSET($K$27,TrendOffset+1,0,SprintsInTrend,1),OFFSET($A$27,TrendOffset+1,0,SprintsInTrend,1),A28)&lt;N28,N28,TREND(OFFSET($K$27,TrendOffset+1,0,SprintsInTrend,1),OFFSET($A$27,TrendOffset+1,0,SprintsInTrend,1),A28))</f>
        <v>#N/A</v>
      </c>
      <c r="M28" s="86" t="str">
        <f>L28</f>
        <v>#N/A</v>
      </c>
      <c r="N28" s="86">
        <f>OFFSET($I$27,TrendSprintCount,0,1,1)</f>
        <v>0</v>
      </c>
      <c r="O28" s="122" t="str">
        <f t="shared" ref="O28:O51" si="4">D$9</f>
        <v/>
      </c>
      <c r="P28" s="122" t="str">
        <f t="shared" ref="P28:P51" si="5">D$10</f>
        <v/>
      </c>
      <c r="Q28" s="122" t="str">
        <f t="shared" ref="Q28:Q51" si="6">D$11</f>
        <v/>
      </c>
    </row>
    <row r="29" ht="12.75" customHeight="1">
      <c r="A29" s="121">
        <v>2.0</v>
      </c>
      <c r="B29" s="73">
        <v>19.0</v>
      </c>
      <c r="C29" s="73">
        <v>11.0</v>
      </c>
      <c r="D29" s="3"/>
      <c r="E29" s="121">
        <f t="shared" ref="E29:E51" si="7">IF(B29="","",IF(D28="",E28,B29+SUM(D$28:D28)))</f>
        <v>31</v>
      </c>
      <c r="F29" s="86">
        <f t="shared" ref="F29:F51" si="8">IF(B29="",IF(B28="","",IF(D28="","",I28)),IF(AND(D28="",C28=""),"",IF(AND(D28="",C28&lt;&gt;""),IF(I28&gt;F28,F28,I28),F28-D28)))</f>
        <v>0</v>
      </c>
      <c r="G29" s="86">
        <f t="shared" si="1"/>
        <v>0</v>
      </c>
      <c r="H29" s="86">
        <f t="shared" si="2"/>
        <v>19</v>
      </c>
      <c r="I29" s="86">
        <f t="shared" ref="I29:I51" si="9">IF(B29="",IF(B28="","",IF(D28="","",F28-D28)),IF(AND(C28="",D28=""),"",IF(AND(D28="",C28&lt;&gt;""),IF(I28&gt;F28,I28-C28,F28-C28),B$28-B29-SUM(D$28:D28))))</f>
        <v>19</v>
      </c>
      <c r="K29" s="62">
        <f t="shared" si="3"/>
        <v>19</v>
      </c>
      <c r="L29" s="86" t="str">
        <f t="array" ref="L29">IF(TREND(OFFSET($K$27,TrendOffset+1,0,SprintsInTrend,1),OFFSET($A$27,TrendOffset+1,0,SprintsInTrend,1),A29)&lt;N29,N29,TREND(OFFSET($K$27,TrendOffset+1,0,SprintsInTrend,1),OFFSET($A$27,TrendOffset+1,0,SprintsInTrend,1),A29))</f>
        <v>#N/A</v>
      </c>
      <c r="M29" s="86" t="str">
        <f t="shared" ref="M29:M51" si="10">IF(L29=L28,"",L29)</f>
        <v>#N/A</v>
      </c>
      <c r="N29" s="86">
        <f>OFFSET($I$27,TrendSprintCount,0,1,1)</f>
        <v>0</v>
      </c>
      <c r="O29" s="122" t="str">
        <f t="shared" si="4"/>
        <v/>
      </c>
      <c r="P29" s="122" t="str">
        <f t="shared" si="5"/>
        <v/>
      </c>
      <c r="Q29" s="122" t="str">
        <f t="shared" si="6"/>
        <v/>
      </c>
    </row>
    <row r="30" ht="12.75" customHeight="1">
      <c r="A30" s="121">
        <v>3.0</v>
      </c>
      <c r="B30" s="73">
        <v>8.0</v>
      </c>
      <c r="C30" s="73">
        <v>8.0</v>
      </c>
      <c r="D30" s="3"/>
      <c r="E30" s="121">
        <f t="shared" si="7"/>
        <v>31</v>
      </c>
      <c r="F30" s="86">
        <f t="shared" si="8"/>
        <v>0</v>
      </c>
      <c r="G30" s="86">
        <f t="shared" si="1"/>
        <v>0</v>
      </c>
      <c r="H30" s="86">
        <f t="shared" si="2"/>
        <v>8</v>
      </c>
      <c r="I30" s="86">
        <f t="shared" si="9"/>
        <v>8</v>
      </c>
      <c r="K30" s="62">
        <f t="shared" si="3"/>
        <v>8</v>
      </c>
      <c r="L30" s="86" t="str">
        <f t="array" ref="L30">IF(TREND(OFFSET($K$27,TrendOffset+1,0,SprintsInTrend,1),OFFSET($A$27,TrendOffset+1,0,SprintsInTrend,1),A30)&lt;N30,N30,TREND(OFFSET($K$27,TrendOffset+1,0,SprintsInTrend,1),OFFSET($A$27,TrendOffset+1,0,SprintsInTrend,1),A30))</f>
        <v>#N/A</v>
      </c>
      <c r="M30" s="86" t="str">
        <f t="shared" si="10"/>
        <v>#N/A</v>
      </c>
      <c r="N30" s="86">
        <f>OFFSET($I$27,TrendSprintCount,0,1,1)</f>
        <v>0</v>
      </c>
      <c r="O30" s="122" t="str">
        <f t="shared" si="4"/>
        <v/>
      </c>
      <c r="P30" s="122" t="str">
        <f t="shared" si="5"/>
        <v/>
      </c>
      <c r="Q30" s="122" t="str">
        <f t="shared" si="6"/>
        <v/>
      </c>
    </row>
    <row r="31" ht="12.75" customHeight="1">
      <c r="A31" s="123"/>
      <c r="B31" s="3"/>
      <c r="C31" s="3"/>
      <c r="D31" s="3"/>
      <c r="E31" s="121" t="str">
        <f t="shared" si="7"/>
        <v/>
      </c>
      <c r="F31" s="86" t="str">
        <f t="shared" si="8"/>
        <v/>
      </c>
      <c r="G31" s="86" t="str">
        <f t="shared" si="1"/>
        <v/>
      </c>
      <c r="H31" s="86" t="str">
        <f t="shared" si="2"/>
        <v/>
      </c>
      <c r="I31" s="86" t="str">
        <f t="shared" si="9"/>
        <v/>
      </c>
      <c r="K31" s="62" t="str">
        <f t="shared" si="3"/>
        <v/>
      </c>
      <c r="L31" s="86" t="str">
        <f t="array" ref="L31">IF(TREND(OFFSET($K$27,TrendOffset+1,0,SprintsInTrend,1),OFFSET($A$27,TrendOffset+1,0,SprintsInTrend,1),A31)&lt;N31,N31,TREND(OFFSET($K$27,TrendOffset+1,0,SprintsInTrend,1),OFFSET($A$27,TrendOffset+1,0,SprintsInTrend,1),A31))</f>
        <v>#VALUE!</v>
      </c>
      <c r="M31" s="86" t="str">
        <f t="shared" si="10"/>
        <v>#VALUE!</v>
      </c>
      <c r="N31" s="86">
        <f>OFFSET($I$27,TrendSprintCount,0,1,1)</f>
        <v>0</v>
      </c>
      <c r="O31" s="122" t="str">
        <f t="shared" si="4"/>
        <v/>
      </c>
      <c r="P31" s="122" t="str">
        <f t="shared" si="5"/>
        <v/>
      </c>
      <c r="Q31" s="122" t="str">
        <f t="shared" si="6"/>
        <v/>
      </c>
    </row>
    <row r="32" ht="12.75" customHeight="1">
      <c r="A32" s="123"/>
      <c r="B32" s="3"/>
      <c r="C32" s="3"/>
      <c r="D32" s="3"/>
      <c r="E32" s="121" t="str">
        <f t="shared" si="7"/>
        <v/>
      </c>
      <c r="F32" s="86" t="str">
        <f t="shared" si="8"/>
        <v/>
      </c>
      <c r="G32" s="86" t="str">
        <f t="shared" si="1"/>
        <v/>
      </c>
      <c r="H32" s="86" t="str">
        <f t="shared" si="2"/>
        <v/>
      </c>
      <c r="I32" s="86" t="str">
        <f t="shared" si="9"/>
        <v/>
      </c>
      <c r="K32" s="62" t="str">
        <f t="shared" si="3"/>
        <v/>
      </c>
      <c r="L32" s="86" t="str">
        <f t="array" ref="L32">IF(TREND(OFFSET($K$27,TrendOffset+1,0,SprintsInTrend,1),OFFSET($A$27,TrendOffset+1,0,SprintsInTrend,1),A32)&lt;N32,N32,TREND(OFFSET($K$27,TrendOffset+1,0,SprintsInTrend,1),OFFSET($A$27,TrendOffset+1,0,SprintsInTrend,1),A32))</f>
        <v>#VALUE!</v>
      </c>
      <c r="M32" s="86" t="str">
        <f t="shared" si="10"/>
        <v>#VALUE!</v>
      </c>
      <c r="N32" s="86">
        <f>OFFSET($I$27,TrendSprintCount,0,1,1)</f>
        <v>0</v>
      </c>
      <c r="O32" s="122" t="str">
        <f t="shared" si="4"/>
        <v/>
      </c>
      <c r="P32" s="122" t="str">
        <f t="shared" si="5"/>
        <v/>
      </c>
      <c r="Q32" s="122" t="str">
        <f t="shared" si="6"/>
        <v/>
      </c>
    </row>
    <row r="33" ht="12.75" customHeight="1">
      <c r="A33" s="123"/>
      <c r="B33" s="3" t="str">
        <f t="shared" ref="B33:B51" si="11">IF(OR(B32="",C32=""),"",IF(D32="",IF(B32-C32&lt;=0,"",B32-C32),IF(B32-D32&lt;=0,"",B32-D32)))</f>
        <v/>
      </c>
      <c r="C33" s="3"/>
      <c r="D33" s="3"/>
      <c r="E33" s="121" t="str">
        <f t="shared" si="7"/>
        <v/>
      </c>
      <c r="F33" s="86" t="str">
        <f t="shared" si="8"/>
        <v/>
      </c>
      <c r="G33" s="86" t="str">
        <f t="shared" si="1"/>
        <v/>
      </c>
      <c r="H33" s="86" t="str">
        <f t="shared" si="2"/>
        <v/>
      </c>
      <c r="I33" s="86" t="str">
        <f t="shared" si="9"/>
        <v/>
      </c>
      <c r="K33" s="62" t="str">
        <f t="shared" si="3"/>
        <v/>
      </c>
      <c r="L33" s="86" t="str">
        <f t="array" ref="L33">IF(TREND(OFFSET($K$27,TrendOffset+1,0,SprintsInTrend,1),OFFSET($A$27,TrendOffset+1,0,SprintsInTrend,1),A33)&lt;N33,N33,TREND(OFFSET($K$27,TrendOffset+1,0,SprintsInTrend,1),OFFSET($A$27,TrendOffset+1,0,SprintsInTrend,1),A33))</f>
        <v>#VALUE!</v>
      </c>
      <c r="M33" s="86" t="str">
        <f t="shared" si="10"/>
        <v>#VALUE!</v>
      </c>
      <c r="N33" s="86">
        <f>OFFSET($I$27,TrendSprintCount,0,1,1)</f>
        <v>0</v>
      </c>
      <c r="O33" s="122" t="str">
        <f t="shared" si="4"/>
        <v/>
      </c>
      <c r="P33" s="122" t="str">
        <f t="shared" si="5"/>
        <v/>
      </c>
      <c r="Q33" s="122" t="str">
        <f t="shared" si="6"/>
        <v/>
      </c>
    </row>
    <row r="34" ht="12.75" customHeight="1">
      <c r="A34" s="123"/>
      <c r="B34" s="3" t="str">
        <f t="shared" si="11"/>
        <v/>
      </c>
      <c r="C34" s="3"/>
      <c r="D34" s="3"/>
      <c r="E34" s="121" t="str">
        <f t="shared" si="7"/>
        <v/>
      </c>
      <c r="F34" s="86" t="str">
        <f t="shared" si="8"/>
        <v/>
      </c>
      <c r="G34" s="86" t="str">
        <f t="shared" si="1"/>
        <v/>
      </c>
      <c r="H34" s="86" t="str">
        <f t="shared" si="2"/>
        <v/>
      </c>
      <c r="I34" s="86" t="str">
        <f t="shared" si="9"/>
        <v/>
      </c>
      <c r="K34" s="62" t="str">
        <f t="shared" si="3"/>
        <v/>
      </c>
      <c r="L34" s="86" t="str">
        <f t="array" ref="L34">IF(TREND(OFFSET($K$27,TrendOffset+1,0,SprintsInTrend,1),OFFSET($A$27,TrendOffset+1,0,SprintsInTrend,1),A34)&lt;N34,N34,TREND(OFFSET($K$27,TrendOffset+1,0,SprintsInTrend,1),OFFSET($A$27,TrendOffset+1,0,SprintsInTrend,1),A34))</f>
        <v>#VALUE!</v>
      </c>
      <c r="M34" s="86" t="str">
        <f t="shared" si="10"/>
        <v>#VALUE!</v>
      </c>
      <c r="N34" s="86">
        <f>OFFSET($I$27,TrendSprintCount,0,1,1)</f>
        <v>0</v>
      </c>
      <c r="O34" s="122" t="str">
        <f t="shared" si="4"/>
        <v/>
      </c>
      <c r="P34" s="122" t="str">
        <f t="shared" si="5"/>
        <v/>
      </c>
      <c r="Q34" s="122" t="str">
        <f t="shared" si="6"/>
        <v/>
      </c>
    </row>
    <row r="35" ht="12.75" customHeight="1">
      <c r="A35" s="123"/>
      <c r="B35" s="3" t="str">
        <f t="shared" si="11"/>
        <v/>
      </c>
      <c r="C35" s="3"/>
      <c r="D35" s="3"/>
      <c r="E35" s="121" t="str">
        <f t="shared" si="7"/>
        <v/>
      </c>
      <c r="F35" s="86" t="str">
        <f t="shared" si="8"/>
        <v/>
      </c>
      <c r="G35" s="86" t="str">
        <f t="shared" si="1"/>
        <v/>
      </c>
      <c r="H35" s="86" t="str">
        <f t="shared" si="2"/>
        <v/>
      </c>
      <c r="I35" s="86" t="str">
        <f t="shared" si="9"/>
        <v/>
      </c>
      <c r="K35" s="62" t="str">
        <f t="shared" si="3"/>
        <v/>
      </c>
      <c r="L35" s="86" t="str">
        <f t="array" ref="L35">IF(TREND(OFFSET($K$27,TrendOffset+1,0,SprintsInTrend,1),OFFSET($A$27,TrendOffset+1,0,SprintsInTrend,1),A35)&lt;N35,N35,TREND(OFFSET($K$27,TrendOffset+1,0,SprintsInTrend,1),OFFSET($A$27,TrendOffset+1,0,SprintsInTrend,1),A35))</f>
        <v>#VALUE!</v>
      </c>
      <c r="M35" s="86" t="str">
        <f t="shared" si="10"/>
        <v>#VALUE!</v>
      </c>
      <c r="N35" s="86">
        <f>OFFSET($I$27,TrendSprintCount,0,1,1)</f>
        <v>0</v>
      </c>
      <c r="O35" s="122" t="str">
        <f t="shared" si="4"/>
        <v/>
      </c>
      <c r="P35" s="122" t="str">
        <f t="shared" si="5"/>
        <v/>
      </c>
      <c r="Q35" s="122" t="str">
        <f t="shared" si="6"/>
        <v/>
      </c>
    </row>
    <row r="36" ht="12.75" customHeight="1">
      <c r="A36" s="123"/>
      <c r="B36" s="3" t="str">
        <f t="shared" si="11"/>
        <v/>
      </c>
      <c r="C36" s="3"/>
      <c r="D36" s="3"/>
      <c r="E36" s="121" t="str">
        <f t="shared" si="7"/>
        <v/>
      </c>
      <c r="F36" s="86" t="str">
        <f t="shared" si="8"/>
        <v/>
      </c>
      <c r="G36" s="86" t="str">
        <f t="shared" si="1"/>
        <v/>
      </c>
      <c r="H36" s="86" t="str">
        <f t="shared" si="2"/>
        <v/>
      </c>
      <c r="I36" s="86" t="str">
        <f t="shared" si="9"/>
        <v/>
      </c>
      <c r="K36" s="62" t="str">
        <f t="shared" si="3"/>
        <v/>
      </c>
      <c r="L36" s="86" t="str">
        <f t="array" ref="L36">IF(TREND(OFFSET($K$27,TrendOffset+1,0,SprintsInTrend,1),OFFSET($A$27,TrendOffset+1,0,SprintsInTrend,1),A36)&lt;N36,N36,TREND(OFFSET($K$27,TrendOffset+1,0,SprintsInTrend,1),OFFSET($A$27,TrendOffset+1,0,SprintsInTrend,1),A36))</f>
        <v>#VALUE!</v>
      </c>
      <c r="M36" s="86" t="str">
        <f t="shared" si="10"/>
        <v>#VALUE!</v>
      </c>
      <c r="N36" s="86">
        <f>OFFSET($I$27,TrendSprintCount,0,1,1)</f>
        <v>0</v>
      </c>
      <c r="O36" s="122" t="str">
        <f t="shared" si="4"/>
        <v/>
      </c>
      <c r="P36" s="122" t="str">
        <f t="shared" si="5"/>
        <v/>
      </c>
      <c r="Q36" s="122" t="str">
        <f t="shared" si="6"/>
        <v/>
      </c>
    </row>
    <row r="37" ht="12.75" customHeight="1">
      <c r="A37" s="123"/>
      <c r="B37" s="3" t="str">
        <f t="shared" si="11"/>
        <v/>
      </c>
      <c r="C37" s="3"/>
      <c r="D37" s="3"/>
      <c r="E37" s="121" t="str">
        <f t="shared" si="7"/>
        <v/>
      </c>
      <c r="F37" s="86" t="str">
        <f t="shared" si="8"/>
        <v/>
      </c>
      <c r="G37" s="86" t="str">
        <f t="shared" si="1"/>
        <v/>
      </c>
      <c r="H37" s="86" t="str">
        <f t="shared" si="2"/>
        <v/>
      </c>
      <c r="I37" s="86" t="str">
        <f t="shared" si="9"/>
        <v/>
      </c>
      <c r="K37" s="62" t="str">
        <f t="shared" si="3"/>
        <v/>
      </c>
      <c r="L37" s="86" t="str">
        <f t="array" ref="L37">IF(TREND(OFFSET($K$27,TrendOffset+1,0,SprintsInTrend,1),OFFSET($A$27,TrendOffset+1,0,SprintsInTrend,1),A37)&lt;N37,N37,TREND(OFFSET($K$27,TrendOffset+1,0,SprintsInTrend,1),OFFSET($A$27,TrendOffset+1,0,SprintsInTrend,1),A37))</f>
        <v>#VALUE!</v>
      </c>
      <c r="M37" s="86" t="str">
        <f t="shared" si="10"/>
        <v>#VALUE!</v>
      </c>
      <c r="N37" s="86">
        <f>OFFSET($I$27,TrendSprintCount,0,1,1)</f>
        <v>0</v>
      </c>
      <c r="O37" s="122" t="str">
        <f t="shared" si="4"/>
        <v/>
      </c>
      <c r="P37" s="122" t="str">
        <f t="shared" si="5"/>
        <v/>
      </c>
      <c r="Q37" s="122" t="str">
        <f t="shared" si="6"/>
        <v/>
      </c>
    </row>
    <row r="38" ht="12.75" customHeight="1">
      <c r="A38" s="123"/>
      <c r="B38" s="3" t="str">
        <f t="shared" si="11"/>
        <v/>
      </c>
      <c r="C38" s="3"/>
      <c r="D38" s="3"/>
      <c r="E38" s="121" t="str">
        <f t="shared" si="7"/>
        <v/>
      </c>
      <c r="F38" s="86" t="str">
        <f t="shared" si="8"/>
        <v/>
      </c>
      <c r="G38" s="86" t="str">
        <f t="shared" si="1"/>
        <v/>
      </c>
      <c r="H38" s="86" t="str">
        <f t="shared" si="2"/>
        <v/>
      </c>
      <c r="I38" s="86" t="str">
        <f t="shared" si="9"/>
        <v/>
      </c>
      <c r="K38" s="62" t="str">
        <f t="shared" si="3"/>
        <v/>
      </c>
      <c r="L38" s="86" t="str">
        <f t="array" ref="L38">IF(TREND(OFFSET($K$27,TrendOffset+1,0,SprintsInTrend,1),OFFSET($A$27,TrendOffset+1,0,SprintsInTrend,1),A38)&lt;N38,N38,TREND(OFFSET($K$27,TrendOffset+1,0,SprintsInTrend,1),OFFSET($A$27,TrendOffset+1,0,SprintsInTrend,1),A38))</f>
        <v>#VALUE!</v>
      </c>
      <c r="M38" s="86" t="str">
        <f t="shared" si="10"/>
        <v>#VALUE!</v>
      </c>
      <c r="N38" s="86">
        <f>OFFSET($I$27,TrendSprintCount,0,1,1)</f>
        <v>0</v>
      </c>
      <c r="O38" s="122" t="str">
        <f t="shared" si="4"/>
        <v/>
      </c>
      <c r="P38" s="122" t="str">
        <f t="shared" si="5"/>
        <v/>
      </c>
      <c r="Q38" s="122" t="str">
        <f t="shared" si="6"/>
        <v/>
      </c>
    </row>
    <row r="39" ht="12.75" customHeight="1">
      <c r="A39" s="123"/>
      <c r="B39" s="3" t="str">
        <f t="shared" si="11"/>
        <v/>
      </c>
      <c r="C39" s="3"/>
      <c r="D39" s="3"/>
      <c r="E39" s="121" t="str">
        <f t="shared" si="7"/>
        <v/>
      </c>
      <c r="F39" s="86" t="str">
        <f t="shared" si="8"/>
        <v/>
      </c>
      <c r="G39" s="86" t="str">
        <f t="shared" si="1"/>
        <v/>
      </c>
      <c r="H39" s="86" t="str">
        <f t="shared" si="2"/>
        <v/>
      </c>
      <c r="I39" s="86" t="str">
        <f t="shared" si="9"/>
        <v/>
      </c>
      <c r="K39" s="62" t="str">
        <f t="shared" si="3"/>
        <v/>
      </c>
      <c r="L39" s="86" t="str">
        <f t="array" ref="L39">IF(TREND(OFFSET($K$27,TrendOffset+1,0,SprintsInTrend,1),OFFSET($A$27,TrendOffset+1,0,SprintsInTrend,1),A39)&lt;N39,N39,TREND(OFFSET($K$27,TrendOffset+1,0,SprintsInTrend,1),OFFSET($A$27,TrendOffset+1,0,SprintsInTrend,1),A39))</f>
        <v>#VALUE!</v>
      </c>
      <c r="M39" s="86" t="str">
        <f t="shared" si="10"/>
        <v>#VALUE!</v>
      </c>
      <c r="N39" s="86">
        <f>OFFSET($I$27,TrendSprintCount,0,1,1)</f>
        <v>0</v>
      </c>
      <c r="O39" s="122" t="str">
        <f t="shared" si="4"/>
        <v/>
      </c>
      <c r="P39" s="122" t="str">
        <f t="shared" si="5"/>
        <v/>
      </c>
      <c r="Q39" s="122" t="str">
        <f t="shared" si="6"/>
        <v/>
      </c>
    </row>
    <row r="40" ht="12.75" customHeight="1">
      <c r="A40" s="123"/>
      <c r="B40" s="3" t="str">
        <f t="shared" si="11"/>
        <v/>
      </c>
      <c r="C40" s="3"/>
      <c r="E40" s="121" t="str">
        <f t="shared" si="7"/>
        <v/>
      </c>
      <c r="F40" s="86" t="str">
        <f t="shared" si="8"/>
        <v/>
      </c>
      <c r="G40" s="86" t="str">
        <f t="shared" si="1"/>
        <v/>
      </c>
      <c r="H40" s="86" t="str">
        <f t="shared" si="2"/>
        <v/>
      </c>
      <c r="I40" s="86" t="str">
        <f t="shared" si="9"/>
        <v/>
      </c>
      <c r="K40" s="62" t="str">
        <f t="shared" si="3"/>
        <v/>
      </c>
      <c r="L40" s="86" t="str">
        <f t="array" ref="L40">IF(TREND(OFFSET($K$27,TrendOffset+1,0,SprintsInTrend,1),OFFSET($A$27,TrendOffset+1,0,SprintsInTrend,1),A40)&lt;N40,N40,TREND(OFFSET($K$27,TrendOffset+1,0,SprintsInTrend,1),OFFSET($A$27,TrendOffset+1,0,SprintsInTrend,1),A40))</f>
        <v>#VALUE!</v>
      </c>
      <c r="M40" s="86" t="str">
        <f t="shared" si="10"/>
        <v>#VALUE!</v>
      </c>
      <c r="N40" s="86">
        <f>OFFSET($I$27,TrendSprintCount,0,1,1)</f>
        <v>0</v>
      </c>
      <c r="O40" s="122" t="str">
        <f t="shared" si="4"/>
        <v/>
      </c>
      <c r="P40" s="122" t="str">
        <f t="shared" si="5"/>
        <v/>
      </c>
      <c r="Q40" s="122" t="str">
        <f t="shared" si="6"/>
        <v/>
      </c>
    </row>
    <row r="41" ht="12.75" customHeight="1">
      <c r="A41" s="123"/>
      <c r="B41" s="3" t="str">
        <f t="shared" si="11"/>
        <v/>
      </c>
      <c r="C41" s="3"/>
      <c r="E41" s="121" t="str">
        <f t="shared" si="7"/>
        <v/>
      </c>
      <c r="F41" s="86" t="str">
        <f t="shared" si="8"/>
        <v/>
      </c>
      <c r="G41" s="86" t="str">
        <f t="shared" si="1"/>
        <v/>
      </c>
      <c r="H41" s="86" t="str">
        <f t="shared" si="2"/>
        <v/>
      </c>
      <c r="I41" s="86" t="str">
        <f t="shared" si="9"/>
        <v/>
      </c>
      <c r="K41" s="62" t="str">
        <f t="shared" si="3"/>
        <v/>
      </c>
      <c r="L41" s="86" t="str">
        <f t="array" ref="L41">IF(TREND(OFFSET($K$27,TrendOffset+1,0,SprintsInTrend,1),OFFSET($A$27,TrendOffset+1,0,SprintsInTrend,1),A41)&lt;N41,N41,TREND(OFFSET($K$27,TrendOffset+1,0,SprintsInTrend,1),OFFSET($A$27,TrendOffset+1,0,SprintsInTrend,1),A41))</f>
        <v>#VALUE!</v>
      </c>
      <c r="M41" s="86" t="str">
        <f t="shared" si="10"/>
        <v>#VALUE!</v>
      </c>
      <c r="N41" s="86">
        <f>OFFSET($I$27,TrendSprintCount,0,1,1)</f>
        <v>0</v>
      </c>
      <c r="O41" s="122" t="str">
        <f t="shared" si="4"/>
        <v/>
      </c>
      <c r="P41" s="122" t="str">
        <f t="shared" si="5"/>
        <v/>
      </c>
      <c r="Q41" s="122" t="str">
        <f t="shared" si="6"/>
        <v/>
      </c>
    </row>
    <row r="42" ht="12.75" customHeight="1">
      <c r="A42" s="123"/>
      <c r="B42" s="3" t="str">
        <f t="shared" si="11"/>
        <v/>
      </c>
      <c r="C42" s="3"/>
      <c r="E42" s="121" t="str">
        <f t="shared" si="7"/>
        <v/>
      </c>
      <c r="F42" s="86" t="str">
        <f t="shared" si="8"/>
        <v/>
      </c>
      <c r="G42" s="86" t="str">
        <f t="shared" si="1"/>
        <v/>
      </c>
      <c r="H42" s="86" t="str">
        <f t="shared" si="2"/>
        <v/>
      </c>
      <c r="I42" s="86" t="str">
        <f t="shared" si="9"/>
        <v/>
      </c>
      <c r="K42" s="62" t="str">
        <f t="shared" si="3"/>
        <v/>
      </c>
      <c r="L42" s="86" t="str">
        <f t="array" ref="L42">IF(TREND(OFFSET($K$27,TrendOffset+1,0,SprintsInTrend,1),OFFSET($A$27,TrendOffset+1,0,SprintsInTrend,1),A42)&lt;N42,N42,TREND(OFFSET($K$27,TrendOffset+1,0,SprintsInTrend,1),OFFSET($A$27,TrendOffset+1,0,SprintsInTrend,1),A42))</f>
        <v>#VALUE!</v>
      </c>
      <c r="M42" s="86" t="str">
        <f t="shared" si="10"/>
        <v>#VALUE!</v>
      </c>
      <c r="N42" s="86">
        <f>OFFSET($I$27,TrendSprintCount,0,1,1)</f>
        <v>0</v>
      </c>
      <c r="O42" s="122" t="str">
        <f t="shared" si="4"/>
        <v/>
      </c>
      <c r="P42" s="122" t="str">
        <f t="shared" si="5"/>
        <v/>
      </c>
      <c r="Q42" s="122" t="str">
        <f t="shared" si="6"/>
        <v/>
      </c>
    </row>
    <row r="43" ht="12.75" customHeight="1">
      <c r="A43" s="123"/>
      <c r="B43" s="3" t="str">
        <f t="shared" si="11"/>
        <v/>
      </c>
      <c r="C43" s="3"/>
      <c r="E43" s="121" t="str">
        <f t="shared" si="7"/>
        <v/>
      </c>
      <c r="F43" s="86" t="str">
        <f t="shared" si="8"/>
        <v/>
      </c>
      <c r="G43" s="86" t="str">
        <f t="shared" si="1"/>
        <v/>
      </c>
      <c r="H43" s="86" t="str">
        <f t="shared" si="2"/>
        <v/>
      </c>
      <c r="I43" s="86" t="str">
        <f t="shared" si="9"/>
        <v/>
      </c>
      <c r="K43" s="62" t="str">
        <f t="shared" si="3"/>
        <v/>
      </c>
      <c r="L43" s="86" t="str">
        <f t="array" ref="L43">IF(TREND(OFFSET($K$27,TrendOffset+1,0,SprintsInTrend,1),OFFSET($A$27,TrendOffset+1,0,SprintsInTrend,1),A43)&lt;N43,N43,TREND(OFFSET($K$27,TrendOffset+1,0,SprintsInTrend,1),OFFSET($A$27,TrendOffset+1,0,SprintsInTrend,1),A43))</f>
        <v>#VALUE!</v>
      </c>
      <c r="M43" s="86" t="str">
        <f t="shared" si="10"/>
        <v>#VALUE!</v>
      </c>
      <c r="N43" s="86">
        <f>OFFSET($I$27,TrendSprintCount,0,1,1)</f>
        <v>0</v>
      </c>
      <c r="O43" s="122" t="str">
        <f t="shared" si="4"/>
        <v/>
      </c>
      <c r="P43" s="122" t="str">
        <f t="shared" si="5"/>
        <v/>
      </c>
      <c r="Q43" s="122" t="str">
        <f t="shared" si="6"/>
        <v/>
      </c>
    </row>
    <row r="44" ht="12.75" customHeight="1">
      <c r="A44" s="123"/>
      <c r="B44" s="3" t="str">
        <f t="shared" si="11"/>
        <v/>
      </c>
      <c r="C44" s="3"/>
      <c r="E44" s="121" t="str">
        <f t="shared" si="7"/>
        <v/>
      </c>
      <c r="F44" s="86" t="str">
        <f t="shared" si="8"/>
        <v/>
      </c>
      <c r="G44" s="86" t="str">
        <f t="shared" si="1"/>
        <v/>
      </c>
      <c r="H44" s="86" t="str">
        <f t="shared" si="2"/>
        <v/>
      </c>
      <c r="I44" s="86" t="str">
        <f t="shared" si="9"/>
        <v/>
      </c>
      <c r="K44" s="62" t="str">
        <f t="shared" si="3"/>
        <v/>
      </c>
      <c r="L44" s="86" t="str">
        <f t="array" ref="L44">IF(TREND(OFFSET($K$27,TrendOffset+1,0,SprintsInTrend,1),OFFSET($A$27,TrendOffset+1,0,SprintsInTrend,1),A44)&lt;N44,N44,TREND(OFFSET($K$27,TrendOffset+1,0,SprintsInTrend,1),OFFSET($A$27,TrendOffset+1,0,SprintsInTrend,1),A44))</f>
        <v>#VALUE!</v>
      </c>
      <c r="M44" s="86" t="str">
        <f t="shared" si="10"/>
        <v>#VALUE!</v>
      </c>
      <c r="N44" s="86">
        <f>OFFSET($I$27,TrendSprintCount,0,1,1)</f>
        <v>0</v>
      </c>
      <c r="O44" s="122" t="str">
        <f t="shared" si="4"/>
        <v/>
      </c>
      <c r="P44" s="122" t="str">
        <f t="shared" si="5"/>
        <v/>
      </c>
      <c r="Q44" s="122" t="str">
        <f t="shared" si="6"/>
        <v/>
      </c>
    </row>
    <row r="45" ht="12.75" customHeight="1">
      <c r="A45" s="123"/>
      <c r="B45" s="3" t="str">
        <f t="shared" si="11"/>
        <v/>
      </c>
      <c r="C45" s="3"/>
      <c r="E45" s="121" t="str">
        <f t="shared" si="7"/>
        <v/>
      </c>
      <c r="F45" s="86" t="str">
        <f t="shared" si="8"/>
        <v/>
      </c>
      <c r="G45" s="86" t="str">
        <f t="shared" si="1"/>
        <v/>
      </c>
      <c r="H45" s="86" t="str">
        <f t="shared" si="2"/>
        <v/>
      </c>
      <c r="I45" s="86" t="str">
        <f t="shared" si="9"/>
        <v/>
      </c>
      <c r="K45" s="62" t="str">
        <f t="shared" si="3"/>
        <v/>
      </c>
      <c r="L45" s="86" t="str">
        <f t="array" ref="L45">IF(TREND(OFFSET($K$27,TrendOffset+1,0,SprintsInTrend,1),OFFSET($A$27,TrendOffset+1,0,SprintsInTrend,1),A45)&lt;N45,N45,TREND(OFFSET($K$27,TrendOffset+1,0,SprintsInTrend,1),OFFSET($A$27,TrendOffset+1,0,SprintsInTrend,1),A45))</f>
        <v>#VALUE!</v>
      </c>
      <c r="M45" s="86" t="str">
        <f t="shared" si="10"/>
        <v>#VALUE!</v>
      </c>
      <c r="N45" s="86">
        <f>OFFSET($I$27,TrendSprintCount,0,1,1)</f>
        <v>0</v>
      </c>
      <c r="O45" s="122" t="str">
        <f t="shared" si="4"/>
        <v/>
      </c>
      <c r="P45" s="122" t="str">
        <f t="shared" si="5"/>
        <v/>
      </c>
      <c r="Q45" s="122" t="str">
        <f t="shared" si="6"/>
        <v/>
      </c>
    </row>
    <row r="46" ht="12.75" customHeight="1">
      <c r="A46" s="123"/>
      <c r="B46" s="3" t="str">
        <f t="shared" si="11"/>
        <v/>
      </c>
      <c r="C46" s="3"/>
      <c r="E46" s="121" t="str">
        <f t="shared" si="7"/>
        <v/>
      </c>
      <c r="F46" s="86" t="str">
        <f t="shared" si="8"/>
        <v/>
      </c>
      <c r="G46" s="86" t="str">
        <f t="shared" si="1"/>
        <v/>
      </c>
      <c r="H46" s="86" t="str">
        <f t="shared" si="2"/>
        <v/>
      </c>
      <c r="I46" s="86" t="str">
        <f t="shared" si="9"/>
        <v/>
      </c>
      <c r="K46" s="62" t="str">
        <f t="shared" si="3"/>
        <v/>
      </c>
      <c r="L46" s="86" t="str">
        <f t="array" ref="L46">IF(TREND(OFFSET($K$27,TrendOffset+1,0,SprintsInTrend,1),OFFSET($A$27,TrendOffset+1,0,SprintsInTrend,1),A46)&lt;N46,N46,TREND(OFFSET($K$27,TrendOffset+1,0,SprintsInTrend,1),OFFSET($A$27,TrendOffset+1,0,SprintsInTrend,1),A46))</f>
        <v>#VALUE!</v>
      </c>
      <c r="M46" s="86" t="str">
        <f t="shared" si="10"/>
        <v>#VALUE!</v>
      </c>
      <c r="N46" s="86">
        <f>OFFSET($I$27,TrendSprintCount,0,1,1)</f>
        <v>0</v>
      </c>
      <c r="O46" s="122" t="str">
        <f t="shared" si="4"/>
        <v/>
      </c>
      <c r="P46" s="122" t="str">
        <f t="shared" si="5"/>
        <v/>
      </c>
      <c r="Q46" s="122" t="str">
        <f t="shared" si="6"/>
        <v/>
      </c>
    </row>
    <row r="47" ht="12.75" customHeight="1">
      <c r="A47" s="123"/>
      <c r="B47" s="3" t="str">
        <f t="shared" si="11"/>
        <v/>
      </c>
      <c r="C47" s="3"/>
      <c r="E47" s="121" t="str">
        <f t="shared" si="7"/>
        <v/>
      </c>
      <c r="F47" s="86" t="str">
        <f t="shared" si="8"/>
        <v/>
      </c>
      <c r="G47" s="86" t="str">
        <f t="shared" si="1"/>
        <v/>
      </c>
      <c r="H47" s="86" t="str">
        <f t="shared" si="2"/>
        <v/>
      </c>
      <c r="I47" s="86" t="str">
        <f t="shared" si="9"/>
        <v/>
      </c>
      <c r="K47" s="62" t="str">
        <f t="shared" si="3"/>
        <v/>
      </c>
      <c r="L47" s="86" t="str">
        <f t="array" ref="L47">IF(TREND(OFFSET($K$27,TrendOffset+1,0,SprintsInTrend,1),OFFSET($A$27,TrendOffset+1,0,SprintsInTrend,1),A47)&lt;N47,N47,TREND(OFFSET($K$27,TrendOffset+1,0,SprintsInTrend,1),OFFSET($A$27,TrendOffset+1,0,SprintsInTrend,1),A47))</f>
        <v>#VALUE!</v>
      </c>
      <c r="M47" s="86" t="str">
        <f t="shared" si="10"/>
        <v>#VALUE!</v>
      </c>
      <c r="N47" s="86">
        <f>OFFSET($I$27,TrendSprintCount,0,1,1)</f>
        <v>0</v>
      </c>
      <c r="O47" s="122" t="str">
        <f t="shared" si="4"/>
        <v/>
      </c>
      <c r="P47" s="122" t="str">
        <f t="shared" si="5"/>
        <v/>
      </c>
      <c r="Q47" s="122" t="str">
        <f t="shared" si="6"/>
        <v/>
      </c>
    </row>
    <row r="48" ht="12.75" customHeight="1">
      <c r="A48" s="123"/>
      <c r="B48" s="3" t="str">
        <f t="shared" si="11"/>
        <v/>
      </c>
      <c r="C48" s="3"/>
      <c r="E48" s="121" t="str">
        <f t="shared" si="7"/>
        <v/>
      </c>
      <c r="F48" s="86" t="str">
        <f t="shared" si="8"/>
        <v/>
      </c>
      <c r="G48" s="86" t="str">
        <f t="shared" si="1"/>
        <v/>
      </c>
      <c r="H48" s="86" t="str">
        <f t="shared" si="2"/>
        <v/>
      </c>
      <c r="I48" s="86" t="str">
        <f t="shared" si="9"/>
        <v/>
      </c>
      <c r="K48" s="62" t="str">
        <f t="shared" si="3"/>
        <v/>
      </c>
      <c r="L48" s="86" t="str">
        <f t="array" ref="L48">IF(TREND(OFFSET($K$27,TrendOffset+1,0,SprintsInTrend,1),OFFSET($A$27,TrendOffset+1,0,SprintsInTrend,1),A48)&lt;N48,N48,TREND(OFFSET($K$27,TrendOffset+1,0,SprintsInTrend,1),OFFSET($A$27,TrendOffset+1,0,SprintsInTrend,1),A48))</f>
        <v>#VALUE!</v>
      </c>
      <c r="M48" s="86" t="str">
        <f t="shared" si="10"/>
        <v>#VALUE!</v>
      </c>
      <c r="N48" s="86">
        <f>OFFSET($I$27,TrendSprintCount,0,1,1)</f>
        <v>0</v>
      </c>
      <c r="O48" s="122" t="str">
        <f t="shared" si="4"/>
        <v/>
      </c>
      <c r="P48" s="122" t="str">
        <f t="shared" si="5"/>
        <v/>
      </c>
      <c r="Q48" s="122" t="str">
        <f t="shared" si="6"/>
        <v/>
      </c>
    </row>
    <row r="49" ht="12.75" customHeight="1">
      <c r="A49" s="123"/>
      <c r="B49" s="3" t="str">
        <f t="shared" si="11"/>
        <v/>
      </c>
      <c r="C49" s="3"/>
      <c r="E49" s="121" t="str">
        <f t="shared" si="7"/>
        <v/>
      </c>
      <c r="F49" s="86" t="str">
        <f t="shared" si="8"/>
        <v/>
      </c>
      <c r="G49" s="86" t="str">
        <f t="shared" si="1"/>
        <v/>
      </c>
      <c r="H49" s="86" t="str">
        <f t="shared" si="2"/>
        <v/>
      </c>
      <c r="I49" s="86" t="str">
        <f t="shared" si="9"/>
        <v/>
      </c>
      <c r="K49" s="62" t="str">
        <f t="shared" si="3"/>
        <v/>
      </c>
      <c r="L49" s="86" t="str">
        <f t="array" ref="L49">IF(TREND(OFFSET($K$27,TrendOffset+1,0,SprintsInTrend,1),OFFSET($A$27,TrendOffset+1,0,SprintsInTrend,1),A49)&lt;N49,N49,TREND(OFFSET($K$27,TrendOffset+1,0,SprintsInTrend,1),OFFSET($A$27,TrendOffset+1,0,SprintsInTrend,1),A49))</f>
        <v>#VALUE!</v>
      </c>
      <c r="M49" s="86" t="str">
        <f t="shared" si="10"/>
        <v>#VALUE!</v>
      </c>
      <c r="N49" s="86">
        <f>OFFSET($I$27,TrendSprintCount,0,1,1)</f>
        <v>0</v>
      </c>
      <c r="O49" s="122" t="str">
        <f t="shared" si="4"/>
        <v/>
      </c>
      <c r="P49" s="122" t="str">
        <f t="shared" si="5"/>
        <v/>
      </c>
      <c r="Q49" s="122" t="str">
        <f t="shared" si="6"/>
        <v/>
      </c>
    </row>
    <row r="50" ht="12.75" customHeight="1">
      <c r="A50" s="123"/>
      <c r="B50" s="3" t="str">
        <f t="shared" si="11"/>
        <v/>
      </c>
      <c r="C50" s="3"/>
      <c r="E50" s="121" t="str">
        <f t="shared" si="7"/>
        <v/>
      </c>
      <c r="F50" s="86" t="str">
        <f t="shared" si="8"/>
        <v/>
      </c>
      <c r="G50" s="86" t="str">
        <f t="shared" si="1"/>
        <v/>
      </c>
      <c r="H50" s="86" t="str">
        <f t="shared" si="2"/>
        <v/>
      </c>
      <c r="I50" s="86" t="str">
        <f t="shared" si="9"/>
        <v/>
      </c>
      <c r="K50" s="62" t="str">
        <f t="shared" si="3"/>
        <v/>
      </c>
      <c r="L50" s="86" t="str">
        <f t="array" ref="L50">IF(TREND(OFFSET($K$27,TrendOffset+1,0,SprintsInTrend,1),OFFSET($A$27,TrendOffset+1,0,SprintsInTrend,1),A50)&lt;N50,N50,TREND(OFFSET($K$27,TrendOffset+1,0,SprintsInTrend,1),OFFSET($A$27,TrendOffset+1,0,SprintsInTrend,1),A50))</f>
        <v>#VALUE!</v>
      </c>
      <c r="M50" s="86" t="str">
        <f t="shared" si="10"/>
        <v>#VALUE!</v>
      </c>
      <c r="N50" s="86">
        <f>OFFSET($I$27,TrendSprintCount,0,1,1)</f>
        <v>0</v>
      </c>
      <c r="O50" s="122" t="str">
        <f t="shared" si="4"/>
        <v/>
      </c>
      <c r="P50" s="122" t="str">
        <f t="shared" si="5"/>
        <v/>
      </c>
      <c r="Q50" s="122" t="str">
        <f t="shared" si="6"/>
        <v/>
      </c>
    </row>
    <row r="51" ht="12.75" customHeight="1">
      <c r="A51" s="123"/>
      <c r="B51" s="3" t="str">
        <f t="shared" si="11"/>
        <v/>
      </c>
      <c r="C51" s="3"/>
      <c r="E51" s="121" t="str">
        <f t="shared" si="7"/>
        <v/>
      </c>
      <c r="F51" s="86" t="str">
        <f t="shared" si="8"/>
        <v/>
      </c>
      <c r="G51" s="86" t="str">
        <f t="shared" si="1"/>
        <v/>
      </c>
      <c r="H51" s="86" t="str">
        <f t="shared" si="2"/>
        <v/>
      </c>
      <c r="I51" s="86" t="str">
        <f t="shared" si="9"/>
        <v/>
      </c>
      <c r="K51" s="62" t="str">
        <f t="shared" si="3"/>
        <v/>
      </c>
      <c r="L51" s="86" t="str">
        <f t="array" ref="L51">IF(TREND(OFFSET($K$27,TrendOffset+1,0,SprintsInTrend,1),OFFSET($A$27,TrendOffset+1,0,SprintsInTrend,1),A51)&lt;N51,N51,TREND(OFFSET($K$27,TrendOffset+1,0,SprintsInTrend,1),OFFSET($A$27,TrendOffset+1,0,SprintsInTrend,1),A51))</f>
        <v>#VALUE!</v>
      </c>
      <c r="M51" s="86" t="str">
        <f t="shared" si="10"/>
        <v>#VALUE!</v>
      </c>
      <c r="N51" s="86">
        <f>OFFSET($I$27,TrendSprintCount,0,1,1)</f>
        <v>0</v>
      </c>
      <c r="O51" s="122" t="str">
        <f t="shared" si="4"/>
        <v/>
      </c>
      <c r="P51" s="122" t="str">
        <f t="shared" si="5"/>
        <v/>
      </c>
      <c r="Q51" s="122" t="str">
        <f t="shared" si="6"/>
        <v/>
      </c>
    </row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dxfId="6" priority="1">
      <formula>$D27="Done"</formula>
    </cfRule>
  </conditionalFormatting>
  <conditionalFormatting sqref="K27:N27 A27:G27 F26 I27 O26:O27 P27:Q27">
    <cfRule type="expression" dxfId="5" priority="2">
      <formula>$D27="Ongoing"</formula>
    </cfRule>
  </conditionalFormatting>
  <conditionalFormatting sqref="K27:N27 A27:G27 F26 I27 O26:O27 P27:Q27">
    <cfRule type="expression" dxfId="4" priority="3">
      <formula>$D27="Removed"</formula>
    </cfRule>
  </conditionalFormatting>
  <printOptions/>
  <pageMargins bottom="0.75" footer="0.0" header="0.0" left="0.7" right="0.7" top="0.75"/>
  <pageSetup orientation="landscape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9.14"/>
    <col customWidth="1" min="4" max="4" width="32.71"/>
    <col customWidth="1" min="5" max="5" width="9.14"/>
    <col customWidth="1" min="6" max="6" width="32.71"/>
    <col customWidth="1" min="7" max="26" width="8.0"/>
  </cols>
  <sheetData>
    <row r="1" ht="12.75" customHeight="1">
      <c r="A1" s="89" t="s">
        <v>112</v>
      </c>
      <c r="B1" s="90">
        <v>1.0</v>
      </c>
      <c r="C1" s="91" t="s">
        <v>117</v>
      </c>
      <c r="D1" s="92" t="s">
        <v>118</v>
      </c>
      <c r="E1" s="92"/>
      <c r="F1" s="93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ht="12.75" customHeight="1">
      <c r="A2" s="94" t="s">
        <v>125</v>
      </c>
      <c r="B2" s="96" t="s">
        <v>126</v>
      </c>
      <c r="C2" s="96"/>
      <c r="D2" s="96"/>
      <c r="E2" s="96"/>
      <c r="F2" s="97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ht="12.75" customHeight="1">
      <c r="A3" s="98"/>
      <c r="B3" s="11"/>
      <c r="C3" s="11"/>
      <c r="D3" s="11"/>
      <c r="E3" s="11"/>
      <c r="F3" s="99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ht="12.75" customHeight="1">
      <c r="A4" s="100"/>
      <c r="B4" s="101"/>
      <c r="C4" s="101"/>
      <c r="D4" s="101"/>
      <c r="E4" s="101"/>
      <c r="F4" s="10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ht="12.75" customHeight="1">
      <c r="A5" s="103" t="str">
        <f>CONCATENATE("Responsible Person: ",'Sp1'!C15)</f>
        <v>Responsible Person: Lucy, Marcos</v>
      </c>
      <c r="B5" s="104"/>
      <c r="C5" s="104"/>
      <c r="D5" s="104"/>
      <c r="E5" s="104"/>
      <c r="F5" s="10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ht="27.0" customHeight="1">
      <c r="A6" s="106" t="s">
        <v>134</v>
      </c>
      <c r="B6" s="107">
        <v>5.0</v>
      </c>
      <c r="C6" s="108" t="s">
        <v>136</v>
      </c>
      <c r="D6" s="109"/>
      <c r="E6" s="108" t="s">
        <v>137</v>
      </c>
      <c r="F6" s="110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ht="12.7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ht="13.5" customHeight="1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ht="12.75" customHeight="1">
      <c r="A9" s="89" t="s">
        <v>112</v>
      </c>
      <c r="B9" s="90">
        <v>1.0</v>
      </c>
      <c r="C9" s="91" t="s">
        <v>117</v>
      </c>
      <c r="D9" s="92" t="s">
        <v>118</v>
      </c>
      <c r="E9" s="92"/>
      <c r="F9" s="93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ht="12.75" customHeight="1">
      <c r="A10" s="94" t="s">
        <v>125</v>
      </c>
      <c r="B10" s="96" t="s">
        <v>144</v>
      </c>
      <c r="C10" s="96"/>
      <c r="D10" s="96"/>
      <c r="E10" s="96"/>
      <c r="F10" s="97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ht="12.75" customHeight="1">
      <c r="A11" s="98"/>
      <c r="B11" s="11"/>
      <c r="C11" s="11"/>
      <c r="D11" s="11"/>
      <c r="E11" s="11"/>
      <c r="F11" s="99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ht="12.75" customHeight="1">
      <c r="A12" s="100"/>
      <c r="B12" s="101"/>
      <c r="C12" s="101"/>
      <c r="D12" s="101"/>
      <c r="E12" s="101"/>
      <c r="F12" s="102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ht="12.75" customHeight="1">
      <c r="A13" s="103" t="str">
        <f>CONCATENATE("Responsible Person: ",'Sp1'!C16)</f>
        <v>Responsible Person: Josh, Ain</v>
      </c>
      <c r="B13" s="104"/>
      <c r="C13" s="104"/>
      <c r="D13" s="104"/>
      <c r="E13" s="104"/>
      <c r="F13" s="105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ht="27.0" customHeight="1">
      <c r="A14" s="106" t="s">
        <v>134</v>
      </c>
      <c r="B14" s="107">
        <v>7.0</v>
      </c>
      <c r="C14" s="108" t="s">
        <v>136</v>
      </c>
      <c r="D14" s="109"/>
      <c r="E14" s="108" t="s">
        <v>137</v>
      </c>
      <c r="F14" s="1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ht="12.75" customHeight="1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ht="13.5" customHeigh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ht="12.75" customHeight="1">
      <c r="A17" s="89" t="s">
        <v>112</v>
      </c>
      <c r="B17" s="90">
        <v>2.0</v>
      </c>
      <c r="C17" s="91" t="s">
        <v>117</v>
      </c>
      <c r="D17" s="92" t="s">
        <v>154</v>
      </c>
      <c r="E17" s="92"/>
      <c r="F17" s="93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ht="12.75" customHeight="1">
      <c r="A18" s="94" t="s">
        <v>125</v>
      </c>
      <c r="B18" s="96" t="s">
        <v>155</v>
      </c>
      <c r="C18" s="96"/>
      <c r="D18" s="96"/>
      <c r="E18" s="96"/>
      <c r="F18" s="97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ht="12.75" customHeight="1">
      <c r="A19" s="98"/>
      <c r="B19" s="11"/>
      <c r="C19" s="11"/>
      <c r="D19" s="11"/>
      <c r="E19" s="11"/>
      <c r="F19" s="99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ht="12.75" customHeight="1">
      <c r="A20" s="100"/>
      <c r="B20" s="101"/>
      <c r="C20" s="101"/>
      <c r="D20" s="101"/>
      <c r="E20" s="101"/>
      <c r="F20" s="102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ht="12.75" customHeight="1">
      <c r="A21" s="103" t="str">
        <f>CONCATENATE("Responsible Person: ",'Sp1'!C17)</f>
        <v>Responsible Person: Daniel</v>
      </c>
      <c r="B21" s="104"/>
      <c r="C21" s="104"/>
      <c r="D21" s="104"/>
      <c r="E21" s="104"/>
      <c r="F21" s="10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ht="27.0" customHeight="1">
      <c r="A22" s="106" t="s">
        <v>134</v>
      </c>
      <c r="B22" s="107">
        <v>12.0</v>
      </c>
      <c r="C22" s="108" t="s">
        <v>136</v>
      </c>
      <c r="D22" s="109"/>
      <c r="E22" s="108" t="s">
        <v>137</v>
      </c>
      <c r="F22" s="1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ht="12.75" customHeight="1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ht="13.5" customHeight="1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ht="12.75" customHeight="1">
      <c r="A25" s="89" t="s">
        <v>112</v>
      </c>
      <c r="B25" s="90">
        <v>2.0</v>
      </c>
      <c r="C25" s="91" t="s">
        <v>117</v>
      </c>
      <c r="D25" s="92" t="s">
        <v>154</v>
      </c>
      <c r="E25" s="92"/>
      <c r="F25" s="93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ht="12.75" customHeight="1">
      <c r="A26" s="94" t="s">
        <v>125</v>
      </c>
      <c r="B26" s="96" t="s">
        <v>156</v>
      </c>
      <c r="C26" s="96"/>
      <c r="D26" s="96"/>
      <c r="E26" s="96"/>
      <c r="F26" s="9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ht="12.75" customHeight="1">
      <c r="A27" s="98"/>
      <c r="B27" s="11"/>
      <c r="C27" s="11"/>
      <c r="D27" s="11"/>
      <c r="E27" s="11"/>
      <c r="F27" s="99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ht="12.75" customHeight="1">
      <c r="A28" s="100"/>
      <c r="B28" s="101"/>
      <c r="C28" s="101"/>
      <c r="D28" s="101"/>
      <c r="E28" s="101"/>
      <c r="F28" s="102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ht="12.75" customHeight="1">
      <c r="A29" s="103" t="str">
        <f>CONCATENATE("Responsible Person: ",'Sp1'!C18)</f>
        <v>Responsible Person: Josh, Daniel, Ain</v>
      </c>
      <c r="B29" s="104"/>
      <c r="C29" s="104"/>
      <c r="D29" s="104"/>
      <c r="E29" s="104"/>
      <c r="F29" s="105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ht="27.0" customHeight="1">
      <c r="A30" s="106" t="s">
        <v>134</v>
      </c>
      <c r="B30" s="107">
        <v>9.0</v>
      </c>
      <c r="C30" s="108" t="s">
        <v>136</v>
      </c>
      <c r="D30" s="109"/>
      <c r="E30" s="108" t="s">
        <v>137</v>
      </c>
      <c r="F30" s="1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ht="12.75" customHeight="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ht="12.75" customHeight="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ht="12.75" customHeight="1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ht="12.75" customHeight="1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ht="12.75" customHeight="1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ht="12.75" customHeight="1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ht="12.75" customHeight="1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ht="12.75" customHeight="1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ht="12.75" customHeight="1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ht="12.75" customHeight="1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ht="12.75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ht="12.75" customHeight="1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ht="12.75" customHeight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ht="12.75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ht="12.75" customHeight="1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ht="12.75" customHeight="1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ht="12.75" customHeight="1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ht="12.75" customHeight="1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ht="12.75" customHeight="1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ht="12.75" customHeight="1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ht="12.75" customHeight="1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ht="12.75" customHeight="1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ht="12.75" customHeight="1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ht="12.75" customHeight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ht="12.75" customHeight="1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ht="12.75" customHeight="1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ht="12.75" customHeight="1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ht="12.75" customHeight="1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ht="12.7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ht="12.7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ht="12.7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ht="12.7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ht="12.7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ht="12.7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ht="12.7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ht="12.7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ht="12.7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ht="12.7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ht="12.7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ht="12.7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ht="12.7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ht="12.7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ht="12.7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ht="12.7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ht="12.7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ht="12.7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ht="12.7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ht="12.7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ht="12.7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ht="12.7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ht="12.7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ht="12.7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ht="12.7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ht="12.7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ht="12.7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ht="12.7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ht="12.7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ht="12.7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ht="12.7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ht="12.7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ht="12.7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ht="12.7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ht="12.7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ht="12.7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ht="12.7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ht="12.7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ht="12.7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ht="12.7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ht="12.7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ht="12.7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ht="12.7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ht="12.7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ht="12.7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ht="12.7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ht="12.7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ht="12.7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ht="12.7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ht="12.7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ht="12.7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ht="12.7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ht="12.7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ht="12.7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ht="12.7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ht="12.7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ht="12.7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ht="12.7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ht="12.7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ht="12.7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ht="12.75" customHeight="1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ht="12.75" customHeight="1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ht="12.75" customHeight="1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ht="12.75" customHeight="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ht="12.75" customHeight="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ht="12.75" customHeight="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ht="12.75" customHeight="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ht="12.75" customHeight="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ht="12.75" customHeight="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ht="12.75" customHeigh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ht="12.75" customHeight="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ht="12.75" customHeigh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ht="12.75" customHeight="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ht="12.75" customHeight="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ht="12.75" customHeight="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ht="12.75" customHeight="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ht="12.75" customHeight="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ht="12.75" customHeight="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ht="12.75" customHeight="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ht="12.75" customHeight="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ht="12.75" customHeight="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ht="12.75" customHeight="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ht="12.75" customHeight="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ht="12.75" customHeight="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ht="12.75" customHeight="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ht="12.75" customHeight="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ht="12.75" customHeight="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ht="12.75" customHeight="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ht="12.75" customHeight="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ht="12.75" customHeight="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ht="12.75" customHeight="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ht="12.75" customHeight="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ht="12.75" customHeight="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ht="12.75" customHeight="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ht="12.75" customHeight="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ht="12.75" customHeight="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ht="12.75" customHeight="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ht="12.75" customHeight="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ht="12.75" customHeight="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ht="12.75" customHeight="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ht="12.75" customHeight="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ht="12.75" customHeight="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ht="12.75" customHeight="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ht="12.75" customHeight="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ht="12.75" customHeight="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ht="12.75" customHeight="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ht="12.75" customHeight="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ht="12.75" customHeight="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ht="12.75" customHeight="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ht="12.75" customHeight="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ht="12.75" customHeight="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ht="12.75" customHeight="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ht="12.75" customHeight="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ht="12.75" customHeight="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ht="12.75" customHeight="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ht="12.75" customHeight="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ht="12.75" customHeight="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ht="12.75" customHeight="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ht="12.75" customHeight="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ht="12.75" customHeight="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ht="12.75" customHeight="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ht="12.75" customHeight="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ht="12.75" customHeight="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ht="12.75" customHeight="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ht="12.75" customHeight="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ht="12.75" customHeight="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ht="12.75" customHeight="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ht="12.75" customHeight="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ht="12.75" customHeight="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ht="12.75" customHeight="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ht="12.75" customHeight="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ht="12.75" customHeight="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ht="12.75" customHeight="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ht="12.75" customHeight="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ht="12.75" customHeight="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ht="12.75" customHeight="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ht="12.75" customHeight="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ht="12.75" customHeight="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ht="12.75" customHeight="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ht="12.75" customHeight="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ht="12.75" customHeight="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ht="12.75" customHeight="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ht="12.75" customHeight="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ht="12.75" customHeight="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ht="12.75" customHeight="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ht="12.75" customHeight="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ht="12.75" customHeight="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ht="12.75" customHeight="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ht="12.75" customHeight="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ht="12.75" customHeight="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ht="12.75" customHeight="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ht="12.75" customHeight="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ht="12.75" customHeight="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ht="12.75" customHeight="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ht="12.75" customHeight="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ht="12.75" customHeight="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ht="12.75" customHeight="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ht="12.75" customHeight="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ht="12.75" customHeight="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ht="12.75" customHeight="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ht="12.75" customHeight="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ht="12.75" customHeight="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ht="12.75" customHeight="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ht="12.75" customHeight="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ht="12.75" customHeight="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ht="12.75" customHeight="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ht="12.75" customHeight="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ht="12.75" customHeight="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ht="12.75" customHeight="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ht="12.75" customHeight="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ht="12.75" customHeight="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ht="12.75" customHeight="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ht="12.75" customHeight="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ht="12.75" customHeight="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ht="12.75" customHeight="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ht="12.75" customHeight="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ht="12.75" customHeight="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ht="12.75" customHeight="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ht="12.75" customHeight="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ht="12.75" customHeight="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ht="12.75" customHeight="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ht="12.75" customHeight="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ht="12.75" customHeight="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ht="12.75" customHeight="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ht="12.75" customHeight="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ht="12.75" customHeight="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ht="12.75" customHeight="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ht="12.75" customHeight="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ht="12.75" customHeight="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ht="12.75" customHeight="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ht="12.75" customHeight="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ht="12.75" customHeight="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ht="12.75" customHeight="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ht="12.75" customHeight="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ht="12.75" customHeight="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ht="12.75" customHeight="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ht="12.75" customHeight="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ht="12.75" customHeight="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ht="12.75" customHeight="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ht="12.75" customHeight="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ht="12.75" customHeight="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ht="12.75" customHeight="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ht="12.75" customHeight="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ht="12.75" customHeight="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ht="12.75" customHeight="1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ht="12.75" customHeight="1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ht="12.75" customHeight="1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ht="12.75" customHeight="1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ht="12.75" customHeight="1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ht="12.75" customHeight="1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ht="12.75" customHeight="1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ht="12.75" customHeight="1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ht="12.75" customHeight="1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ht="12.75" customHeight="1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ht="12.75" customHeight="1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ht="12.75" customHeight="1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ht="12.75" customHeight="1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ht="12.75" customHeight="1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ht="12.75" customHeight="1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ht="12.75" customHeight="1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ht="12.75" customHeight="1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ht="12.75" customHeight="1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ht="12.75" customHeight="1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ht="12.75" customHeight="1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ht="12.75" customHeight="1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ht="12.75" customHeight="1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ht="12.75" customHeight="1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ht="12.75" customHeight="1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ht="12.75" customHeight="1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ht="12.75" customHeight="1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ht="12.75" customHeight="1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ht="12.75" customHeight="1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ht="12.75" customHeight="1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ht="12.75" customHeight="1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ht="12.75" customHeight="1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ht="12.75" customHeight="1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ht="12.75" customHeight="1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ht="12.75" customHeight="1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ht="12.75" customHeight="1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ht="12.75" customHeight="1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ht="12.75" customHeight="1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ht="12.75" customHeight="1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ht="12.75" customHeight="1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ht="12.75" customHeight="1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ht="12.75" customHeight="1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ht="12.75" customHeight="1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ht="12.75" customHeight="1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ht="12.75" customHeight="1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ht="12.75" customHeight="1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ht="12.75" customHeight="1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ht="12.75" customHeight="1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ht="12.75" customHeight="1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ht="12.75" customHeight="1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ht="12.75" customHeight="1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ht="12.75" customHeight="1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ht="12.75" customHeight="1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ht="12.75" customHeight="1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ht="12.75" customHeight="1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ht="12.75" customHeight="1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ht="12.75" customHeight="1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ht="12.75" customHeight="1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ht="12.75" customHeight="1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ht="12.75" customHeight="1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ht="12.75" customHeight="1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ht="12.75" customHeight="1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ht="12.75" customHeight="1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ht="12.75" customHeight="1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ht="12.75" customHeight="1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ht="12.75" customHeight="1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ht="12.75" customHeight="1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ht="12.75" customHeight="1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ht="12.75" customHeight="1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ht="12.75" customHeight="1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ht="12.75" customHeight="1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ht="12.75" customHeight="1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ht="12.75" customHeight="1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ht="12.75" customHeight="1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ht="12.75" customHeight="1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ht="12.75" customHeight="1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ht="12.75" customHeight="1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ht="12.75" customHeight="1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ht="12.75" customHeight="1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ht="12.75" customHeight="1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ht="12.75" customHeight="1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ht="12.75" customHeight="1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ht="12.75" customHeight="1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ht="12.75" customHeight="1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ht="12.75" customHeight="1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ht="12.75" customHeight="1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ht="12.75" customHeight="1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ht="12.75" customHeight="1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ht="12.75" customHeight="1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ht="12.75" customHeight="1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ht="12.75" customHeight="1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ht="12.75" customHeight="1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ht="12.75" customHeight="1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ht="12.75" customHeight="1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ht="12.75" customHeight="1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ht="12.75" customHeight="1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ht="12.75" customHeight="1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ht="12.75" customHeight="1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ht="12.75" customHeight="1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ht="12.75" customHeight="1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ht="12.75" customHeight="1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ht="12.75" customHeight="1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ht="12.75" customHeight="1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ht="12.75" customHeight="1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ht="12.75" customHeight="1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ht="12.75" customHeight="1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ht="12.75" customHeight="1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ht="12.75" customHeight="1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ht="12.75" customHeight="1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ht="12.75" customHeight="1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ht="12.75" customHeight="1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ht="12.75" customHeight="1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ht="12.75" customHeight="1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ht="12.75" customHeight="1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ht="12.75" customHeight="1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ht="12.75" customHeight="1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ht="12.75" customHeight="1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ht="12.75" customHeight="1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ht="12.75" customHeight="1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ht="12.75" customHeight="1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ht="12.75" customHeight="1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ht="12.75" customHeight="1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ht="12.75" customHeight="1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ht="12.75" customHeight="1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ht="12.75" customHeight="1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ht="12.75" customHeight="1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ht="12.75" customHeight="1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ht="12.75" customHeight="1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ht="12.75" customHeight="1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ht="12.75" customHeight="1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ht="12.75" customHeight="1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ht="12.75" customHeight="1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ht="12.75" customHeight="1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ht="12.75" customHeight="1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ht="12.75" customHeight="1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ht="12.75" customHeight="1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ht="12.75" customHeight="1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ht="12.75" customHeight="1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ht="12.75" customHeight="1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ht="12.75" customHeight="1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ht="12.75" customHeight="1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ht="12.75" customHeight="1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ht="12.75" customHeight="1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ht="12.75" customHeight="1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ht="12.75" customHeight="1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ht="12.75" customHeight="1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ht="12.75" customHeight="1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ht="12.75" customHeight="1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ht="12.75" customHeight="1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ht="12.75" customHeight="1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ht="12.75" customHeight="1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ht="12.75" customHeight="1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ht="12.75" customHeight="1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ht="12.75" customHeight="1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ht="12.75" customHeight="1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ht="12.75" customHeight="1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ht="12.75" customHeight="1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ht="12.75" customHeight="1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ht="12.75" customHeight="1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ht="12.75" customHeight="1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ht="12.75" customHeight="1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ht="12.75" customHeight="1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ht="12.75" customHeight="1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ht="12.75" customHeight="1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ht="12.75" customHeight="1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ht="12.75" customHeight="1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ht="12.75" customHeight="1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ht="12.75" customHeight="1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ht="12.75" customHeight="1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ht="12.75" customHeight="1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ht="12.75" customHeight="1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ht="12.75" customHeight="1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ht="12.75" customHeight="1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ht="12.75" customHeight="1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ht="12.75" customHeight="1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ht="12.75" customHeight="1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ht="12.75" customHeight="1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ht="12.75" customHeight="1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ht="12.75" customHeight="1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ht="12.75" customHeight="1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ht="12.75" customHeight="1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ht="12.75" customHeight="1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ht="12.75" customHeight="1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ht="12.75" customHeight="1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ht="12.75" customHeight="1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ht="12.75" customHeight="1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ht="12.75" customHeight="1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ht="12.75" customHeight="1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ht="12.75" customHeight="1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ht="12.75" customHeight="1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ht="12.75" customHeight="1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ht="12.75" customHeight="1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ht="12.75" customHeight="1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ht="12.75" customHeight="1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ht="12.75" customHeight="1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ht="12.75" customHeight="1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ht="12.75" customHeight="1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ht="12.75" customHeight="1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ht="12.75" customHeight="1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ht="12.75" customHeight="1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ht="12.75" customHeight="1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ht="12.75" customHeight="1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ht="12.75" customHeight="1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ht="12.75" customHeight="1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ht="12.75" customHeight="1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ht="12.75" customHeight="1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ht="12.75" customHeight="1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ht="12.75" customHeight="1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ht="12.75" customHeight="1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ht="12.75" customHeight="1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ht="12.75" customHeight="1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ht="12.75" customHeight="1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ht="12.75" customHeight="1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ht="12.75" customHeight="1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ht="12.75" customHeight="1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ht="12.75" customHeight="1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ht="12.75" customHeight="1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ht="12.75" customHeight="1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ht="12.75" customHeight="1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ht="12.75" customHeight="1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ht="12.75" customHeight="1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ht="12.75" customHeight="1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ht="12.75" customHeight="1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ht="12.75" customHeight="1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ht="12.75" customHeight="1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ht="12.75" customHeight="1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ht="12.75" customHeight="1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ht="12.75" customHeight="1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ht="12.75" customHeight="1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ht="12.75" customHeight="1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ht="12.75" customHeight="1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ht="12.75" customHeight="1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ht="12.75" customHeight="1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ht="12.75" customHeight="1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ht="12.75" customHeight="1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ht="12.75" customHeight="1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ht="12.75" customHeight="1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ht="12.75" customHeight="1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ht="12.75" customHeight="1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ht="12.75" customHeight="1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ht="12.75" customHeight="1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ht="12.75" customHeight="1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ht="12.75" customHeight="1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ht="12.75" customHeight="1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ht="12.75" customHeight="1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ht="12.75" customHeight="1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ht="12.75" customHeight="1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ht="12.75" customHeight="1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ht="12.75" customHeight="1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ht="12.75" customHeight="1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ht="12.75" customHeight="1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ht="12.75" customHeight="1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ht="12.75" customHeight="1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ht="12.75" customHeight="1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ht="12.75" customHeight="1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ht="12.75" customHeight="1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ht="12.75" customHeight="1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ht="12.75" customHeight="1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ht="12.75" customHeight="1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ht="12.75" customHeight="1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ht="12.75" customHeight="1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ht="12.75" customHeight="1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ht="12.75" customHeight="1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ht="12.75" customHeight="1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ht="12.75" customHeight="1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ht="12.75" customHeight="1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ht="12.75" customHeight="1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ht="12.75" customHeight="1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ht="12.75" customHeight="1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ht="12.75" customHeight="1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ht="12.75" customHeight="1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ht="12.75" customHeight="1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ht="12.75" customHeight="1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ht="12.75" customHeight="1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ht="12.75" customHeight="1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ht="12.75" customHeight="1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ht="12.75" customHeight="1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ht="12.75" customHeight="1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ht="12.75" customHeight="1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ht="12.75" customHeight="1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ht="12.75" customHeight="1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ht="12.75" customHeight="1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ht="12.75" customHeight="1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ht="12.75" customHeight="1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ht="12.75" customHeight="1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ht="12.75" customHeight="1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ht="12.75" customHeight="1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ht="12.75" customHeight="1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ht="12.75" customHeight="1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ht="12.75" customHeight="1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ht="12.75" customHeight="1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ht="12.75" customHeight="1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ht="12.75" customHeight="1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ht="12.75" customHeight="1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ht="12.75" customHeight="1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ht="12.75" customHeight="1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ht="12.75" customHeight="1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ht="12.75" customHeight="1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ht="12.75" customHeight="1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ht="12.75" customHeight="1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ht="12.75" customHeight="1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ht="12.75" customHeight="1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ht="12.75" customHeight="1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ht="12.75" customHeight="1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ht="12.75" customHeight="1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ht="12.75" customHeight="1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ht="12.75" customHeight="1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ht="12.75" customHeight="1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ht="12.75" customHeight="1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ht="12.75" customHeight="1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ht="12.75" customHeight="1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ht="12.75" customHeight="1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ht="12.75" customHeight="1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ht="12.75" customHeight="1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ht="12.75" customHeight="1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ht="12.75" customHeight="1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ht="12.75" customHeight="1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ht="12.75" customHeight="1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ht="12.75" customHeight="1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ht="12.75" customHeight="1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ht="12.75" customHeight="1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ht="12.75" customHeight="1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ht="12.75" customHeight="1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ht="12.75" customHeight="1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ht="12.75" customHeight="1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ht="12.75" customHeight="1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ht="12.75" customHeight="1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ht="12.75" customHeight="1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ht="12.75" customHeight="1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ht="12.75" customHeight="1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ht="12.75" customHeight="1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ht="12.75" customHeight="1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ht="12.75" customHeight="1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ht="12.75" customHeight="1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ht="12.75" customHeight="1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ht="12.75" customHeight="1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ht="12.75" customHeight="1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ht="12.75" customHeight="1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ht="12.75" customHeight="1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ht="12.75" customHeight="1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ht="12.75" customHeight="1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ht="12.75" customHeight="1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ht="12.75" customHeight="1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ht="12.75" customHeight="1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ht="12.75" customHeight="1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ht="12.75" customHeight="1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ht="12.75" customHeight="1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ht="12.75" customHeight="1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ht="12.75" customHeight="1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ht="12.75" customHeight="1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ht="12.75" customHeight="1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ht="12.75" customHeight="1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ht="12.75" customHeight="1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ht="12.75" customHeight="1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ht="12.75" customHeight="1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ht="12.75" customHeight="1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ht="12.75" customHeight="1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ht="12.75" customHeight="1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ht="12.75" customHeight="1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ht="12.75" customHeight="1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ht="12.75" customHeight="1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ht="12.75" customHeight="1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ht="12.75" customHeight="1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ht="12.75" customHeight="1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ht="12.75" customHeight="1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ht="12.75" customHeight="1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ht="12.75" customHeight="1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ht="12.75" customHeight="1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ht="12.75" customHeight="1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ht="12.75" customHeight="1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ht="12.75" customHeight="1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ht="12.75" customHeight="1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ht="12.75" customHeight="1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ht="12.75" customHeight="1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ht="12.75" customHeight="1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ht="12.75" customHeight="1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ht="12.75" customHeight="1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ht="12.75" customHeight="1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ht="12.75" customHeight="1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ht="12.75" customHeight="1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ht="12.75" customHeight="1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ht="12.75" customHeight="1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ht="12.75" customHeight="1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ht="12.75" customHeight="1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ht="12.75" customHeight="1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ht="12.75" customHeight="1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ht="12.75" customHeight="1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ht="12.75" customHeight="1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ht="12.75" customHeight="1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ht="12.75" customHeight="1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ht="12.75" customHeight="1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ht="12.75" customHeight="1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ht="12.75" customHeight="1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ht="12.75" customHeight="1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ht="12.75" customHeight="1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ht="12.75" customHeight="1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ht="12.75" customHeight="1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ht="12.75" customHeight="1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ht="12.75" customHeight="1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ht="12.75" customHeight="1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ht="12.75" customHeight="1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ht="12.75" customHeight="1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ht="12.75" customHeight="1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ht="12.75" customHeight="1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ht="12.75" customHeight="1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ht="12.75" customHeight="1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ht="12.75" customHeight="1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ht="12.75" customHeight="1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ht="12.75" customHeight="1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ht="12.75" customHeight="1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ht="12.75" customHeight="1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ht="12.75" customHeight="1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ht="12.75" customHeight="1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ht="12.75" customHeight="1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ht="12.75" customHeight="1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ht="12.75" customHeight="1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ht="12.75" customHeight="1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ht="12.75" customHeight="1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ht="12.75" customHeight="1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ht="12.75" customHeight="1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ht="12.75" customHeight="1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ht="12.75" customHeight="1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ht="12.75" customHeight="1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ht="12.75" customHeight="1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ht="12.75" customHeight="1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ht="12.75" customHeight="1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ht="12.75" customHeight="1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ht="12.75" customHeight="1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ht="12.75" customHeight="1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ht="12.75" customHeight="1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ht="12.75" customHeight="1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ht="12.75" customHeight="1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ht="12.75" customHeight="1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ht="12.75" customHeight="1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ht="12.75" customHeight="1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ht="12.75" customHeight="1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ht="12.75" customHeight="1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ht="12.75" customHeight="1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ht="12.75" customHeight="1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ht="12.75" customHeight="1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ht="12.75" customHeight="1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ht="12.75" customHeight="1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ht="12.75" customHeight="1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ht="12.75" customHeight="1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ht="12.75" customHeight="1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ht="12.75" customHeight="1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ht="12.75" customHeight="1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ht="12.75" customHeight="1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ht="12.75" customHeight="1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ht="12.75" customHeight="1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ht="12.75" customHeight="1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ht="12.75" customHeight="1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ht="12.75" customHeight="1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ht="12.75" customHeight="1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ht="12.75" customHeight="1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ht="12.75" customHeight="1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ht="12.75" customHeight="1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ht="12.75" customHeight="1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ht="12.75" customHeight="1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ht="12.75" customHeight="1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ht="12.75" customHeight="1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ht="12.75" customHeight="1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ht="12.75" customHeight="1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ht="12.75" customHeight="1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ht="12.75" customHeight="1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ht="12.75" customHeight="1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ht="12.75" customHeight="1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ht="12.75" customHeight="1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ht="12.75" customHeight="1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ht="12.75" customHeight="1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ht="12.75" customHeight="1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ht="12.75" customHeight="1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ht="12.75" customHeight="1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ht="12.75" customHeight="1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ht="12.75" customHeight="1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ht="12.75" customHeight="1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ht="12.75" customHeight="1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ht="12.75" customHeight="1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ht="12.75" customHeight="1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ht="12.75" customHeight="1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ht="12.75" customHeight="1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ht="12.75" customHeight="1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ht="12.75" customHeight="1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ht="12.75" customHeight="1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ht="12.75" customHeight="1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ht="12.75" customHeight="1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ht="12.75" customHeight="1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ht="12.75" customHeight="1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ht="12.75" customHeight="1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ht="12.75" customHeight="1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ht="12.75" customHeight="1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ht="12.75" customHeight="1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ht="12.75" customHeight="1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ht="12.75" customHeight="1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ht="12.75" customHeight="1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ht="12.75" customHeight="1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ht="12.75" customHeight="1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ht="12.75" customHeight="1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ht="12.75" customHeight="1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ht="12.75" customHeight="1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ht="12.75" customHeight="1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ht="12.75" customHeight="1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ht="12.75" customHeight="1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ht="12.75" customHeight="1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ht="12.75" customHeight="1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ht="12.75" customHeight="1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ht="12.75" customHeight="1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ht="12.75" customHeight="1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ht="12.75" customHeight="1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ht="12.75" customHeight="1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ht="12.75" customHeight="1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ht="12.75" customHeight="1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ht="12.75" customHeight="1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ht="12.75" customHeight="1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ht="12.75" customHeight="1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ht="12.75" customHeight="1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ht="12.75" customHeight="1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ht="12.75" customHeight="1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ht="12.75" customHeight="1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ht="12.75" customHeight="1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ht="12.75" customHeight="1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ht="12.75" customHeight="1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ht="12.75" customHeight="1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ht="12.75" customHeight="1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ht="12.75" customHeight="1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ht="12.75" customHeight="1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ht="12.75" customHeight="1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ht="12.75" customHeight="1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ht="12.75" customHeight="1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ht="12.75" customHeight="1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ht="12.75" customHeight="1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ht="12.75" customHeight="1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ht="12.75" customHeight="1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ht="12.75" customHeight="1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ht="12.75" customHeight="1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ht="12.75" customHeight="1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ht="12.75" customHeight="1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ht="12.75" customHeight="1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ht="12.75" customHeight="1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ht="12.75" customHeight="1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ht="12.75" customHeight="1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ht="12.75" customHeight="1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ht="12.75" customHeight="1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ht="12.75" customHeight="1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ht="12.75" customHeight="1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ht="12.75" customHeight="1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ht="12.75" customHeight="1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ht="12.75" customHeight="1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ht="12.75" customHeight="1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ht="12.75" customHeight="1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ht="12.75" customHeight="1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ht="12.75" customHeight="1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ht="12.75" customHeight="1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ht="12.75" customHeight="1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ht="12.75" customHeight="1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ht="12.75" customHeight="1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ht="12.75" customHeight="1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ht="12.75" customHeight="1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ht="12.75" customHeight="1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ht="12.75" customHeight="1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ht="12.75" customHeight="1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ht="12.75" customHeight="1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ht="12.75" customHeight="1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ht="12.75" customHeight="1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ht="12.75" customHeight="1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ht="12.75" customHeight="1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ht="12.75" customHeight="1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ht="12.75" customHeight="1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ht="12.75" customHeight="1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ht="12.75" customHeight="1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ht="12.75" customHeight="1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ht="12.75" customHeight="1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ht="12.75" customHeight="1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ht="12.75" customHeight="1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ht="12.75" customHeight="1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ht="12.75" customHeight="1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ht="12.75" customHeight="1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ht="12.75" customHeight="1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ht="12.75" customHeight="1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ht="12.75" customHeight="1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ht="12.75" customHeight="1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ht="12.75" customHeight="1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ht="12.75" customHeight="1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ht="12.75" customHeight="1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ht="12.75" customHeight="1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ht="12.75" customHeight="1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ht="12.75" customHeight="1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ht="12.75" customHeight="1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ht="12.75" customHeight="1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ht="12.75" customHeight="1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ht="12.75" customHeight="1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ht="12.75" customHeight="1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ht="12.75" customHeight="1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ht="12.75" customHeight="1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ht="12.75" customHeight="1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ht="12.75" customHeight="1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ht="12.75" customHeight="1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ht="12.75" customHeight="1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ht="12.75" customHeight="1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ht="12.75" customHeight="1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ht="12.75" customHeight="1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ht="12.75" customHeight="1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ht="12.75" customHeight="1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ht="12.75" customHeight="1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ht="12.75" customHeight="1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ht="12.75" customHeight="1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ht="12.75" customHeight="1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ht="12.75" customHeight="1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ht="12.75" customHeight="1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ht="12.75" customHeight="1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ht="12.75" customHeight="1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ht="12.75" customHeight="1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ht="12.75" customHeight="1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ht="12.75" customHeight="1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ht="12.75" customHeight="1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ht="12.75" customHeight="1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ht="12.75" customHeight="1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ht="12.75" customHeight="1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ht="12.75" customHeight="1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ht="12.75" customHeight="1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ht="12.75" customHeight="1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ht="12.75" customHeight="1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ht="12.75" customHeight="1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ht="12.75" customHeight="1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ht="12.75" customHeight="1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ht="12.75" customHeight="1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ht="12.75" customHeight="1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ht="12.75" customHeight="1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ht="12.75" customHeight="1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ht="12.75" customHeight="1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ht="12.75" customHeight="1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ht="12.75" customHeight="1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ht="12.75" customHeight="1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ht="12.75" customHeight="1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ht="12.75" customHeight="1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ht="12.75" customHeight="1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ht="12.75" customHeight="1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ht="12.75" customHeight="1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ht="12.75" customHeight="1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ht="12.75" customHeight="1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ht="12.75" customHeight="1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ht="12.75" customHeight="1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ht="12.75" customHeight="1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ht="12.75" customHeight="1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ht="12.75" customHeight="1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ht="12.75" customHeight="1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ht="12.75" customHeight="1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ht="12.75" customHeight="1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ht="12.75" customHeight="1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ht="12.75" customHeight="1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ht="12.75" customHeight="1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ht="12.75" customHeight="1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ht="12.75" customHeight="1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ht="12.75" customHeight="1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ht="12.75" customHeight="1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ht="12.75" customHeight="1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ht="12.75" customHeight="1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ht="12.75" customHeight="1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ht="12.75" customHeight="1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ht="12.75" customHeight="1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ht="12.75" customHeight="1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ht="12.75" customHeight="1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ht="12.75" customHeight="1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ht="12.75" customHeight="1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ht="12.75" customHeight="1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ht="12.75" customHeight="1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ht="12.75" customHeight="1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ht="12.75" customHeight="1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ht="12.75" customHeight="1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ht="12.75" customHeight="1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ht="12.75" customHeight="1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ht="12.75" customHeight="1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ht="12.75" customHeight="1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ht="12.75" customHeight="1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ht="12.75" customHeight="1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ht="12.75" customHeight="1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ht="12.75" customHeight="1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ht="12.75" customHeight="1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ht="12.75" customHeight="1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ht="12.75" customHeight="1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ht="12.75" customHeight="1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ht="12.75" customHeight="1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ht="12.75" customHeight="1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ht="12.75" customHeight="1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ht="12.75" customHeight="1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ht="12.75" customHeight="1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ht="12.75" customHeight="1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ht="12.75" customHeight="1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ht="12.75" customHeight="1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ht="12.75" customHeight="1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ht="12.75" customHeight="1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ht="12.75" customHeight="1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ht="12.75" customHeight="1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ht="12.75" customHeight="1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ht="12.75" customHeight="1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ht="12.75" customHeight="1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ht="12.75" customHeight="1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ht="12.75" customHeight="1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ht="12.75" customHeight="1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ht="12.75" customHeight="1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ht="12.75" customHeight="1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ht="12.75" customHeight="1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ht="12.75" customHeight="1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ht="12.75" customHeight="1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ht="12.75" customHeight="1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ht="12.75" customHeight="1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ht="12.75" customHeight="1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ht="12.75" customHeight="1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ht="12.75" customHeight="1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ht="12.75" customHeight="1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ht="12.75" customHeight="1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ht="12.75" customHeight="1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ht="12.75" customHeight="1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ht="12.75" customHeight="1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ht="12.75" customHeight="1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ht="12.75" customHeight="1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ht="12.75" customHeight="1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ht="12.75" customHeight="1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ht="12.75" customHeight="1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ht="12.75" customHeight="1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ht="12.75" customHeight="1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ht="12.75" customHeight="1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ht="12.75" customHeight="1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ht="12.75" customHeight="1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ht="12.75" customHeight="1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ht="12.75" customHeight="1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ht="12.75" customHeight="1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ht="12.75" customHeight="1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ht="12.75" customHeight="1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ht="12.75" customHeight="1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ht="12.75" customHeight="1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ht="12.75" customHeight="1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ht="12.75" customHeight="1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ht="12.75" customHeight="1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ht="12.75" customHeight="1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ht="12.75" customHeight="1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ht="12.75" customHeight="1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ht="12.75" customHeight="1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ht="12.75" customHeight="1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1998-06-05T11:20:44Z</dcterms:created>
  <dc:creator>&lt; Your name &gt;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str/>
  </property>
</Properties>
</file>